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ming\Projects\ExcelGameEngine\"/>
    </mc:Choice>
  </mc:AlternateContent>
  <xr:revisionPtr revIDLastSave="0" documentId="13_ncr:1_{9F39119A-4023-4D27-998B-A61C9951C2D7}" xr6:coauthVersionLast="45" xr6:coauthVersionMax="45" xr10:uidLastSave="{00000000-0000-0000-0000-000000000000}"/>
  <bookViews>
    <workbookView xWindow="-120" yWindow="-120" windowWidth="29040" windowHeight="15840" xr2:uid="{E8A4C637-941E-4130-B6C8-770E67054093}"/>
  </bookViews>
  <sheets>
    <sheet name="Screen" sheetId="3" r:id="rId1"/>
    <sheet name="KeyboardInputs" sheetId="5" r:id="rId2"/>
    <sheet name="Entities" sheetId="2" r:id="rId3"/>
    <sheet name="Board" sheetId="16" r:id="rId4"/>
    <sheet name="TileTypes" sheetId="1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9" i="2" l="1" a="1"/>
  <c r="V9" i="2" s="1"/>
  <c r="R9" i="2" a="1"/>
  <c r="R9" i="2" s="1"/>
  <c r="X2" i="15"/>
  <c r="M12" i="3" l="1"/>
  <c r="X7" i="16"/>
  <c r="Y7" i="16" s="1"/>
  <c r="Z20" i="16" s="1"/>
  <c r="X6" i="16"/>
  <c r="Y6" i="16" s="1"/>
  <c r="Z21" i="16" s="1"/>
  <c r="X5" i="16"/>
  <c r="Y5" i="16" s="1"/>
  <c r="Z22" i="16" s="1"/>
  <c r="N7" i="2"/>
  <c r="AJ3" i="2"/>
  <c r="X8" i="16" l="1"/>
  <c r="X9" i="16"/>
  <c r="X10" i="16"/>
  <c r="X11" i="16"/>
  <c r="X12" i="16"/>
  <c r="X13" i="16"/>
  <c r="X14" i="16"/>
  <c r="X15" i="16"/>
  <c r="X16" i="16"/>
  <c r="X17" i="16"/>
  <c r="X18" i="16"/>
  <c r="X19" i="16"/>
  <c r="X20" i="16"/>
  <c r="Y20" i="16" s="1"/>
  <c r="Z7" i="16" s="1"/>
  <c r="X21" i="16"/>
  <c r="Y21" i="16" s="1"/>
  <c r="Z6" i="16" s="1"/>
  <c r="X22" i="16"/>
  <c r="Y22" i="16" s="1"/>
  <c r="Z5" i="16" s="1"/>
  <c r="AA22" i="16" s="1"/>
  <c r="AA21" i="16" s="1"/>
  <c r="AA20" i="16" s="1"/>
  <c r="M16" i="3"/>
  <c r="R16" i="2"/>
  <c r="M7" i="2" l="1"/>
  <c r="AJ7" i="2" l="1"/>
  <c r="AA7" i="2"/>
  <c r="P7" i="2"/>
  <c r="V7" i="2" s="1" a="1"/>
  <c r="V7" i="2" s="1"/>
  <c r="O7" i="2"/>
  <c r="R7" i="2" s="1" a="1"/>
  <c r="R7" i="2" s="1"/>
  <c r="C3" i="2"/>
  <c r="B3" i="2"/>
  <c r="B3" i="5"/>
  <c r="AC7" i="2" l="1"/>
  <c r="S3" i="2" l="1"/>
  <c r="T3" i="2"/>
  <c r="R3" i="2"/>
  <c r="X11" i="2"/>
  <c r="W11" i="2"/>
  <c r="V11" i="2"/>
  <c r="Y4" i="2" l="1"/>
  <c r="Y3" i="2"/>
  <c r="AB3" i="2" s="1"/>
  <c r="R11" i="2" l="1"/>
  <c r="S11" i="2"/>
  <c r="T11" i="2"/>
  <c r="AI7" i="2" l="1"/>
  <c r="AF7" i="2" l="1"/>
  <c r="AH7" i="2" s="1"/>
  <c r="V18" i="2" s="1" a="1"/>
  <c r="V18" i="2" s="1"/>
  <c r="AE7" i="2"/>
  <c r="AG7" i="2" s="1"/>
  <c r="R18" i="2" s="1" a="1"/>
  <c r="R18" i="2" s="1"/>
  <c r="AB7" i="2"/>
  <c r="R20" i="2" l="1"/>
  <c r="S20" i="2"/>
  <c r="T20" i="2"/>
  <c r="Y20" i="2" l="1"/>
  <c r="AD7" i="2" s="1"/>
  <c r="AL7" i="2" s="1" a="1"/>
  <c r="AL7" i="2" s="1"/>
  <c r="AP7" i="2" l="1" a="1"/>
  <c r="AP7" i="2" s="1"/>
  <c r="Y13" i="16"/>
  <c r="Z14" i="16" s="1"/>
  <c r="Y8" i="16"/>
  <c r="Z19" i="16" s="1"/>
  <c r="Y18" i="16"/>
  <c r="Z9" i="16" s="1"/>
  <c r="Y9" i="16"/>
  <c r="Z18" i="16" s="1"/>
  <c r="Y19" i="16"/>
  <c r="Z8" i="16" s="1"/>
  <c r="AA19" i="16" s="1"/>
  <c r="Y15" i="16"/>
  <c r="Z12" i="16" s="1"/>
  <c r="Y12" i="16"/>
  <c r="Z15" i="16" s="1"/>
  <c r="Y14" i="16"/>
  <c r="Z13" i="16" s="1"/>
  <c r="Y10" i="16"/>
  <c r="Z17" i="16" s="1"/>
  <c r="Y16" i="16"/>
  <c r="Z11" i="16" s="1"/>
  <c r="Y17" i="16"/>
  <c r="Z10" i="16" s="1"/>
  <c r="Y11" i="16"/>
  <c r="Z16" i="16" s="1"/>
  <c r="C5" i="3" a="1"/>
  <c r="I16" i="3" a="1"/>
  <c r="D8" i="3" a="1"/>
  <c r="E15" i="3" a="1"/>
  <c r="C12" i="3" a="1"/>
  <c r="I13" i="3" a="1"/>
  <c r="H19" i="3" a="1"/>
  <c r="C11" i="3" a="1"/>
  <c r="B10" i="3" a="1"/>
  <c r="K14" i="3" a="1"/>
  <c r="H7" i="3" a="1"/>
  <c r="J11" i="3" a="1"/>
  <c r="H18" i="3" a="1"/>
  <c r="F4" i="3" a="1"/>
  <c r="G13" i="3" a="1"/>
  <c r="C16" i="3" a="1"/>
  <c r="I19" i="3" a="1"/>
  <c r="C17" i="3" a="1"/>
  <c r="J8" i="3" a="1"/>
  <c r="B18" i="3" a="1"/>
  <c r="I9" i="3" a="1"/>
  <c r="B8" i="3" a="1"/>
  <c r="G19" i="3" a="1"/>
  <c r="K9" i="3" a="1"/>
  <c r="D15" i="3" a="1"/>
  <c r="C13" i="3" a="1"/>
  <c r="E2" i="3" a="1"/>
  <c r="E10" i="3" a="1"/>
  <c r="J15" i="3" a="1"/>
  <c r="H9" i="3" a="1"/>
  <c r="F18" i="3" a="1"/>
  <c r="D10" i="3" a="1"/>
  <c r="I10" i="3" a="1"/>
  <c r="K19" i="3" a="1"/>
  <c r="K17" i="3" a="1"/>
  <c r="E16" i="3" a="1"/>
  <c r="H14" i="3" a="1"/>
  <c r="F15" i="3" a="1"/>
  <c r="K10" i="3" a="1"/>
  <c r="C14" i="3" a="1"/>
  <c r="G15" i="3" a="1"/>
  <c r="H10" i="3" a="1"/>
  <c r="K18" i="3" a="1"/>
  <c r="J6" i="3" a="1"/>
  <c r="C7" i="3" a="1"/>
  <c r="J13" i="3" a="1"/>
  <c r="G9" i="3" a="1"/>
  <c r="E19" i="3" a="1"/>
  <c r="D16" i="3" a="1"/>
  <c r="B17" i="3" a="1"/>
  <c r="F7" i="3" a="1"/>
  <c r="I3" i="3" a="1"/>
  <c r="I15" i="3" a="1"/>
  <c r="J9" i="3" a="1"/>
  <c r="I12" i="3" a="1"/>
  <c r="B4" i="3" a="1"/>
  <c r="G17" i="3" a="1"/>
  <c r="B12" i="3" a="1"/>
  <c r="F8" i="3" a="1"/>
  <c r="J2" i="3" a="1"/>
  <c r="D13" i="3" a="1"/>
  <c r="G18" i="3" a="1"/>
  <c r="F9" i="3" a="1"/>
  <c r="K12" i="3" a="1"/>
  <c r="B7" i="3" a="1"/>
  <c r="E11" i="3" a="1"/>
  <c r="H15" i="3" a="1"/>
  <c r="J3" i="3" a="1"/>
  <c r="G16" i="3" a="1"/>
  <c r="C2" i="3" a="1"/>
  <c r="B19" i="3" a="1"/>
  <c r="G14" i="3" a="1"/>
  <c r="F19" i="3" a="1"/>
  <c r="H5" i="3" a="1"/>
  <c r="E8" i="3" a="1"/>
  <c r="J19" i="3" a="1"/>
  <c r="I7" i="3" a="1"/>
  <c r="F17" i="3" a="1"/>
  <c r="K7" i="3" a="1"/>
  <c r="J17" i="3" a="1"/>
  <c r="C15" i="3" a="1"/>
  <c r="E14" i="3" a="1"/>
  <c r="G11" i="3" a="1"/>
  <c r="K3" i="3" a="1"/>
  <c r="K8" i="3" a="1"/>
  <c r="J14" i="3" a="1"/>
  <c r="H8" i="3" a="1"/>
  <c r="F10" i="3" a="1"/>
  <c r="J4" i="3" a="1"/>
  <c r="B13" i="3" a="1"/>
  <c r="H16" i="3" a="1"/>
  <c r="J18" i="3" a="1"/>
  <c r="E12" i="3" a="1"/>
  <c r="D14" i="3" a="1"/>
  <c r="B11" i="3" a="1"/>
  <c r="D19" i="3" a="1"/>
  <c r="H12" i="3" a="1"/>
  <c r="K11" i="3" a="1"/>
  <c r="H13" i="3" a="1"/>
  <c r="J5" i="3" a="1"/>
  <c r="D9" i="3" a="1"/>
  <c r="G8" i="3" a="1"/>
  <c r="G10" i="3" a="1"/>
  <c r="D2" i="3" a="1"/>
  <c r="K5" i="3" a="1"/>
  <c r="C8" i="3" a="1"/>
  <c r="F13" i="3" a="1"/>
  <c r="B9" i="3" a="1"/>
  <c r="E7" i="3" a="1"/>
  <c r="H17" i="3" a="1"/>
  <c r="F16" i="3" a="1"/>
  <c r="E9" i="3" a="1"/>
  <c r="B16" i="3" a="1"/>
  <c r="D17" i="3" a="1"/>
  <c r="K13" i="3" a="1"/>
  <c r="J10" i="3" a="1"/>
  <c r="J12" i="3" a="1"/>
  <c r="G12" i="3" a="1"/>
  <c r="D18" i="3" a="1"/>
  <c r="D7" i="3" a="1"/>
  <c r="G7" i="3" a="1"/>
  <c r="F5" i="3" a="1"/>
  <c r="H2" i="3" a="1"/>
  <c r="D11" i="3" a="1"/>
  <c r="J16" i="3" a="1"/>
  <c r="F14" i="3" a="1"/>
  <c r="I2" i="3" a="1"/>
  <c r="I4" i="3" a="1"/>
  <c r="G6" i="3" a="1"/>
  <c r="G2" i="3" a="1"/>
  <c r="G5" i="3" a="1"/>
  <c r="B14" i="3" a="1"/>
  <c r="D4" i="3" a="1"/>
  <c r="E5" i="3" a="1"/>
  <c r="C10" i="3" a="1"/>
  <c r="K2" i="3" a="1"/>
  <c r="I6" i="3" a="1"/>
  <c r="F2" i="3" a="1"/>
  <c r="E18" i="3" a="1"/>
  <c r="E4" i="3" a="1"/>
  <c r="C18" i="3" a="1"/>
  <c r="E13" i="3" a="1"/>
  <c r="K16" i="3" a="1"/>
  <c r="F11" i="3" a="1"/>
  <c r="C9" i="3" a="1"/>
  <c r="B6" i="3" a="1"/>
  <c r="D3" i="3" a="1"/>
  <c r="D5" i="3" a="1"/>
  <c r="C19" i="3" a="1"/>
  <c r="I11" i="3" a="1"/>
  <c r="I18" i="3" a="1"/>
  <c r="B15" i="3" a="1"/>
  <c r="K15" i="3" a="1"/>
  <c r="F12" i="3" a="1"/>
  <c r="H3" i="3" a="1"/>
  <c r="H6" i="3" a="1"/>
  <c r="I8" i="3" a="1"/>
  <c r="J7" i="3" a="1"/>
  <c r="D12" i="3" a="1"/>
  <c r="I14" i="3" a="1"/>
  <c r="I17" i="3" a="1"/>
  <c r="E17" i="3" a="1"/>
  <c r="C4" i="3" a="1"/>
  <c r="H11" i="3" a="1"/>
  <c r="G3" i="3" a="1"/>
  <c r="F3" i="3" a="1"/>
  <c r="E3" i="3" a="1"/>
  <c r="C3" i="3" a="1"/>
  <c r="E6" i="3" a="1"/>
  <c r="B3" i="3" a="1"/>
  <c r="D6" i="3" a="1"/>
  <c r="I5" i="3" a="1"/>
  <c r="K6" i="3" a="1"/>
  <c r="B2" i="3" a="1"/>
  <c r="B5" i="3" a="1"/>
  <c r="K4" i="3" a="1"/>
  <c r="F6" i="3" a="1"/>
  <c r="H4" i="3" a="1"/>
  <c r="G4" i="3" a="1"/>
  <c r="C6" i="3" a="1"/>
  <c r="AA18" i="16" l="1"/>
  <c r="AA17" i="16" s="1"/>
  <c r="AA16" i="16" s="1"/>
  <c r="AA15" i="16" s="1"/>
  <c r="AA14" i="16" s="1"/>
  <c r="AA13" i="16" s="1"/>
  <c r="AA12" i="16" s="1"/>
  <c r="AA11" i="16" s="1"/>
  <c r="AA10" i="16" s="1"/>
  <c r="AA9" i="16" s="1"/>
  <c r="AA8" i="16" s="1"/>
  <c r="AA7" i="16" s="1"/>
  <c r="AA6" i="16" s="1"/>
  <c r="F5" i="3"/>
  <c r="D2" i="3"/>
  <c r="G2" i="3"/>
  <c r="K2" i="3"/>
  <c r="F2" i="3"/>
  <c r="C4" i="3"/>
  <c r="B4" i="3"/>
  <c r="G6" i="3"/>
  <c r="C2" i="3"/>
  <c r="K3" i="3"/>
  <c r="J5" i="3"/>
  <c r="I4" i="3"/>
  <c r="E5" i="3"/>
  <c r="J3" i="3"/>
  <c r="I2" i="3"/>
  <c r="H6" i="3"/>
  <c r="I3" i="3"/>
  <c r="D4" i="3"/>
  <c r="D3" i="3"/>
  <c r="E4" i="3"/>
  <c r="I6" i="3"/>
  <c r="G5" i="3"/>
  <c r="H2" i="3"/>
  <c r="K5" i="3"/>
  <c r="J4" i="3"/>
  <c r="H5" i="3"/>
  <c r="J2" i="3"/>
  <c r="J6" i="3"/>
  <c r="E2" i="3"/>
  <c r="F4" i="3"/>
  <c r="C5" i="3"/>
  <c r="C6" i="3"/>
  <c r="G4" i="3"/>
  <c r="H4" i="3"/>
  <c r="F6" i="3"/>
  <c r="K4" i="3"/>
  <c r="B5" i="3"/>
  <c r="B2" i="3"/>
  <c r="K6" i="3"/>
  <c r="I5" i="3"/>
  <c r="D6" i="3"/>
  <c r="B3" i="3"/>
  <c r="E6" i="3"/>
  <c r="C3" i="3"/>
  <c r="E3" i="3"/>
  <c r="F3" i="3"/>
  <c r="G3" i="3"/>
  <c r="H3" i="3"/>
  <c r="D5" i="3"/>
  <c r="J8" i="3"/>
  <c r="I13" i="3"/>
  <c r="H18" i="3"/>
  <c r="F10" i="3"/>
  <c r="C9" i="3"/>
  <c r="D15" i="3"/>
  <c r="H10" i="3"/>
  <c r="D7" i="3"/>
  <c r="B19" i="3"/>
  <c r="I18" i="3"/>
  <c r="C14" i="3"/>
  <c r="D9" i="3"/>
  <c r="K10" i="3"/>
  <c r="C19" i="3"/>
  <c r="F15" i="3"/>
  <c r="J10" i="3"/>
  <c r="I15" i="3"/>
  <c r="E14" i="3"/>
  <c r="D12" i="3"/>
  <c r="D17" i="3"/>
  <c r="H12" i="3"/>
  <c r="B16" i="3"/>
  <c r="D19" i="3"/>
  <c r="I10" i="3"/>
  <c r="D14" i="3"/>
  <c r="H17" i="3"/>
  <c r="E7" i="3"/>
  <c r="E12" i="3"/>
  <c r="F17" i="3"/>
  <c r="K12" i="3"/>
  <c r="E19" i="3"/>
  <c r="F18" i="3"/>
  <c r="C17" i="3"/>
  <c r="C12" i="3"/>
  <c r="B6" i="3"/>
  <c r="F19" i="3"/>
  <c r="B12" i="3"/>
  <c r="G7" i="3"/>
  <c r="G17" i="3"/>
  <c r="G10" i="3"/>
  <c r="G15" i="3"/>
  <c r="G19" i="3"/>
  <c r="K8" i="3"/>
  <c r="E17" i="3"/>
  <c r="I12" i="3"/>
  <c r="J12" i="3"/>
  <c r="I9" i="3"/>
  <c r="H14" i="3"/>
  <c r="I14" i="3"/>
  <c r="E16" i="3"/>
  <c r="K17" i="3"/>
  <c r="H15" i="3"/>
  <c r="H19" i="3"/>
  <c r="F7" i="3"/>
  <c r="E9" i="3"/>
  <c r="B11" i="3"/>
  <c r="K7" i="3"/>
  <c r="D16" i="3"/>
  <c r="B9" i="3"/>
  <c r="J18" i="3"/>
  <c r="I7" i="3"/>
  <c r="F9" i="3"/>
  <c r="G9" i="3"/>
  <c r="H9" i="3"/>
  <c r="I19" i="3"/>
  <c r="E15" i="3"/>
  <c r="F12" i="3"/>
  <c r="K18" i="3"/>
  <c r="K15" i="3"/>
  <c r="G14" i="3"/>
  <c r="F11" i="3"/>
  <c r="K9" i="3"/>
  <c r="J14" i="3"/>
  <c r="G8" i="3"/>
  <c r="C10" i="3"/>
  <c r="I11" i="3"/>
  <c r="E13" i="3"/>
  <c r="K14" i="3"/>
  <c r="G16" i="3"/>
  <c r="C18" i="3"/>
  <c r="H13" i="3"/>
  <c r="K13" i="3"/>
  <c r="J7" i="3"/>
  <c r="C11" i="3"/>
  <c r="F14" i="3"/>
  <c r="E11" i="3"/>
  <c r="J17" i="3"/>
  <c r="F16" i="3"/>
  <c r="B7" i="3"/>
  <c r="D10" i="3"/>
  <c r="F13" i="3"/>
  <c r="H16" i="3"/>
  <c r="J19" i="3"/>
  <c r="G18" i="3"/>
  <c r="J13" i="3"/>
  <c r="J15" i="3"/>
  <c r="C16" i="3"/>
  <c r="D8" i="3"/>
  <c r="C13" i="3"/>
  <c r="F8" i="3"/>
  <c r="H11" i="3"/>
  <c r="H8" i="3"/>
  <c r="J11" i="3"/>
  <c r="B15" i="3"/>
  <c r="D18" i="3"/>
  <c r="K16" i="3"/>
  <c r="H7" i="3"/>
  <c r="G12" i="3"/>
  <c r="B8" i="3"/>
  <c r="I17" i="3"/>
  <c r="J9" i="3"/>
  <c r="G11" i="3"/>
  <c r="B10" i="3"/>
  <c r="B18" i="3"/>
  <c r="I8" i="3"/>
  <c r="K11" i="3"/>
  <c r="C15" i="3"/>
  <c r="K19" i="3"/>
  <c r="J16" i="3"/>
  <c r="B17" i="3"/>
  <c r="B14" i="3"/>
  <c r="D11" i="3"/>
  <c r="C8" i="3"/>
  <c r="B13" i="3"/>
  <c r="E8" i="3"/>
  <c r="D13" i="3"/>
  <c r="C7" i="3"/>
  <c r="E10" i="3"/>
  <c r="G13" i="3"/>
  <c r="I16" i="3"/>
  <c r="E18" i="3"/>
  <c r="M11" i="3"/>
  <c r="T22" i="16" l="1" a="1"/>
  <c r="T22" i="16" s="1"/>
  <c r="U22" i="16" a="1"/>
  <c r="U22" i="16" s="1"/>
  <c r="R22" i="16" a="1"/>
  <c r="R22" i="16" s="1"/>
  <c r="N22" i="16" a="1"/>
  <c r="N22" i="16" s="1"/>
  <c r="Q22" i="16" a="1"/>
  <c r="Q22" i="16" s="1"/>
  <c r="W22" i="16" a="1"/>
  <c r="W22" i="16" s="1"/>
  <c r="S22" i="16" a="1"/>
  <c r="S22" i="16" s="1"/>
  <c r="V22" i="16" a="1"/>
  <c r="V22" i="16" s="1"/>
  <c r="O22" i="16" a="1"/>
  <c r="O22" i="16" s="1"/>
  <c r="P22" i="16" a="1"/>
  <c r="P22" i="16" s="1"/>
  <c r="Q5" i="16" a="1"/>
  <c r="Q5" i="16" s="1"/>
  <c r="W5" i="16" a="1"/>
  <c r="W5" i="16" s="1"/>
  <c r="O5" i="16" a="1"/>
  <c r="O5" i="16" s="1"/>
  <c r="R5" i="16" a="1"/>
  <c r="R5" i="16" s="1"/>
  <c r="P5" i="16" a="1"/>
  <c r="P5" i="16" s="1"/>
  <c r="V5" i="16" a="1"/>
  <c r="V5" i="16" s="1"/>
  <c r="T5" i="16" a="1"/>
  <c r="T5" i="16" s="1"/>
  <c r="U5" i="16" a="1"/>
  <c r="U5" i="16" s="1"/>
  <c r="S5" i="16" a="1"/>
  <c r="S5" i="16" s="1"/>
  <c r="O6" i="16" a="1"/>
  <c r="O6" i="16" s="1"/>
  <c r="R6" i="16" a="1"/>
  <c r="R6" i="16" s="1"/>
  <c r="S6" i="16" a="1"/>
  <c r="S6" i="16" s="1"/>
  <c r="V6" i="16" a="1"/>
  <c r="V6" i="16" s="1"/>
  <c r="Q6" i="16" a="1"/>
  <c r="Q6" i="16" s="1"/>
  <c r="P6" i="16" a="1"/>
  <c r="P6" i="16" s="1"/>
  <c r="T6" i="16" a="1"/>
  <c r="T6" i="16" s="1"/>
  <c r="W6" i="16" a="1"/>
  <c r="W6" i="16" s="1"/>
  <c r="U6" i="16" a="1"/>
  <c r="U6" i="16" s="1"/>
  <c r="T7" i="16" a="1"/>
  <c r="T7" i="16" s="1"/>
  <c r="P7" i="16" a="1"/>
  <c r="P7" i="16" s="1"/>
  <c r="S7" i="16" a="1"/>
  <c r="S7" i="16" s="1"/>
  <c r="U7" i="16" a="1"/>
  <c r="U7" i="16" s="1"/>
  <c r="R7" i="16" a="1"/>
  <c r="R7" i="16" s="1"/>
  <c r="V7" i="16" a="1"/>
  <c r="V7" i="16" s="1"/>
  <c r="Q7" i="16" a="1"/>
  <c r="Q7" i="16" s="1"/>
  <c r="O7" i="16" a="1"/>
  <c r="O7" i="16" s="1"/>
  <c r="W7" i="16" a="1"/>
  <c r="W7" i="16" s="1"/>
  <c r="S8" i="16" a="1"/>
  <c r="S8" i="16" s="1"/>
  <c r="T8" i="16" a="1"/>
  <c r="T8" i="16" s="1"/>
  <c r="P8" i="16" a="1"/>
  <c r="P8" i="16" s="1"/>
  <c r="U8" i="16" a="1"/>
  <c r="U8" i="16" s="1"/>
  <c r="W8" i="16" a="1"/>
  <c r="W8" i="16" s="1"/>
  <c r="R8" i="16" a="1"/>
  <c r="R8" i="16" s="1"/>
  <c r="V8" i="16" a="1"/>
  <c r="V8" i="16" s="1"/>
  <c r="Q8" i="16" a="1"/>
  <c r="Q8" i="16" s="1"/>
  <c r="O8" i="16" a="1"/>
  <c r="O8" i="16" s="1"/>
  <c r="T9" i="16" a="1"/>
  <c r="T9" i="16" s="1"/>
  <c r="W9" i="16" a="1"/>
  <c r="W9" i="16" s="1"/>
  <c r="S9" i="16" a="1"/>
  <c r="S9" i="16" s="1"/>
  <c r="U9" i="16" a="1"/>
  <c r="U9" i="16" s="1"/>
  <c r="P9" i="16" a="1"/>
  <c r="P9" i="16" s="1"/>
  <c r="R9" i="16" a="1"/>
  <c r="R9" i="16" s="1"/>
  <c r="Q9" i="16" a="1"/>
  <c r="Q9" i="16" s="1"/>
  <c r="O9" i="16" a="1"/>
  <c r="O9" i="16" s="1"/>
  <c r="V9" i="16" a="1"/>
  <c r="V9" i="16" s="1"/>
  <c r="P10" i="16" a="1"/>
  <c r="P10" i="16" s="1"/>
  <c r="O10" i="16" a="1"/>
  <c r="O10" i="16" s="1"/>
  <c r="W10" i="16" a="1"/>
  <c r="W10" i="16" s="1"/>
  <c r="U10" i="16" a="1"/>
  <c r="U10" i="16" s="1"/>
  <c r="R10" i="16" a="1"/>
  <c r="R10" i="16" s="1"/>
  <c r="V10" i="16" a="1"/>
  <c r="V10" i="16" s="1"/>
  <c r="S10" i="16" a="1"/>
  <c r="S10" i="16" s="1"/>
  <c r="T10" i="16" a="1"/>
  <c r="T10" i="16" s="1"/>
  <c r="Q10" i="16" a="1"/>
  <c r="Q10" i="16" s="1"/>
  <c r="V11" i="16" a="1"/>
  <c r="V11" i="16" s="1"/>
  <c r="O11" i="16" a="1"/>
  <c r="O11" i="16" s="1"/>
  <c r="Q11" i="16" a="1"/>
  <c r="Q11" i="16" s="1"/>
  <c r="W11" i="16" a="1"/>
  <c r="W11" i="16" s="1"/>
  <c r="T11" i="16" a="1"/>
  <c r="T11" i="16" s="1"/>
  <c r="R11" i="16" a="1"/>
  <c r="R11" i="16" s="1"/>
  <c r="U11" i="16" a="1"/>
  <c r="U11" i="16" s="1"/>
  <c r="S11" i="16" a="1"/>
  <c r="S11" i="16" s="1"/>
  <c r="P11" i="16" a="1"/>
  <c r="P11" i="16" s="1"/>
  <c r="S12" i="16" a="1"/>
  <c r="S12" i="16" s="1"/>
  <c r="O12" i="16" a="1"/>
  <c r="O12" i="16" s="1"/>
  <c r="T12" i="16" a="1"/>
  <c r="T12" i="16" s="1"/>
  <c r="V12" i="16" a="1"/>
  <c r="V12" i="16" s="1"/>
  <c r="U12" i="16" a="1"/>
  <c r="U12" i="16" s="1"/>
  <c r="P12" i="16" a="1"/>
  <c r="P12" i="16" s="1"/>
  <c r="W12" i="16" a="1"/>
  <c r="W12" i="16" s="1"/>
  <c r="Q12" i="16" a="1"/>
  <c r="Q12" i="16" s="1"/>
  <c r="R12" i="16" a="1"/>
  <c r="R12" i="16" s="1"/>
  <c r="Q13" i="16" a="1"/>
  <c r="Q13" i="16" s="1"/>
  <c r="V13" i="16" a="1"/>
  <c r="V13" i="16" s="1"/>
  <c r="R13" i="16" a="1"/>
  <c r="R13" i="16" s="1"/>
  <c r="O13" i="16" a="1"/>
  <c r="O13" i="16" s="1"/>
  <c r="P13" i="16" a="1"/>
  <c r="P13" i="16" s="1"/>
  <c r="U13" i="16" a="1"/>
  <c r="U13" i="16" s="1"/>
  <c r="S13" i="16" a="1"/>
  <c r="S13" i="16" s="1"/>
  <c r="W13" i="16" a="1"/>
  <c r="W13" i="16" s="1"/>
  <c r="N13" i="16" a="1"/>
  <c r="N13" i="16" s="1"/>
  <c r="T13" i="16" a="1"/>
  <c r="T13" i="16" s="1"/>
  <c r="O14" i="16" a="1"/>
  <c r="O14" i="16" s="1"/>
  <c r="T14" i="16" a="1"/>
  <c r="T14" i="16" s="1"/>
  <c r="V14" i="16" a="1"/>
  <c r="V14" i="16" s="1"/>
  <c r="P14" i="16" a="1"/>
  <c r="P14" i="16" s="1"/>
  <c r="Q14" i="16" a="1"/>
  <c r="Q14" i="16" s="1"/>
  <c r="W14" i="16" a="1"/>
  <c r="W14" i="16" s="1"/>
  <c r="U14" i="16" a="1"/>
  <c r="U14" i="16" s="1"/>
  <c r="R14" i="16" a="1"/>
  <c r="R14" i="16" s="1"/>
  <c r="N14" i="16" a="1"/>
  <c r="N14" i="16" s="1"/>
  <c r="N12" i="16" a="1"/>
  <c r="N12" i="16" s="1"/>
  <c r="S14" i="16" a="1"/>
  <c r="S14" i="16" s="1"/>
  <c r="O15" i="16" a="1"/>
  <c r="O15" i="16" s="1"/>
  <c r="Q15" i="16" a="1"/>
  <c r="Q15" i="16" s="1"/>
  <c r="R15" i="16" a="1"/>
  <c r="R15" i="16" s="1"/>
  <c r="T15" i="16" a="1"/>
  <c r="T15" i="16" s="1"/>
  <c r="U15" i="16" a="1"/>
  <c r="U15" i="16" s="1"/>
  <c r="W15" i="16" a="1"/>
  <c r="W15" i="16" s="1"/>
  <c r="S15" i="16" a="1"/>
  <c r="S15" i="16" s="1"/>
  <c r="P15" i="16" a="1"/>
  <c r="P15" i="16" s="1"/>
  <c r="N15" i="16" a="1"/>
  <c r="N15" i="16" s="1"/>
  <c r="N11" i="16" a="1"/>
  <c r="N11" i="16" s="1"/>
  <c r="V15" i="16" a="1"/>
  <c r="V15" i="16" s="1"/>
  <c r="V16" i="16" a="1"/>
  <c r="V16" i="16" s="1"/>
  <c r="P16" i="16" a="1"/>
  <c r="P16" i="16" s="1"/>
  <c r="S16" i="16" a="1"/>
  <c r="S16" i="16" s="1"/>
  <c r="R16" i="16" a="1"/>
  <c r="R16" i="16" s="1"/>
  <c r="O16" i="16" a="1"/>
  <c r="O16" i="16" s="1"/>
  <c r="W16" i="16" a="1"/>
  <c r="W16" i="16" s="1"/>
  <c r="T16" i="16" a="1"/>
  <c r="T16" i="16" s="1"/>
  <c r="Q16" i="16" a="1"/>
  <c r="Q16" i="16" s="1"/>
  <c r="N16" i="16" a="1"/>
  <c r="N16" i="16" s="1"/>
  <c r="N10" i="16" a="1"/>
  <c r="N10" i="16" s="1"/>
  <c r="U16" i="16" a="1"/>
  <c r="U16" i="16" s="1"/>
  <c r="W17" i="16" a="1"/>
  <c r="W17" i="16" s="1"/>
  <c r="S17" i="16" a="1"/>
  <c r="S17" i="16" s="1"/>
  <c r="R17" i="16" a="1"/>
  <c r="R17" i="16" s="1"/>
  <c r="P17" i="16" a="1"/>
  <c r="P17" i="16" s="1"/>
  <c r="T17" i="16" a="1"/>
  <c r="T17" i="16" s="1"/>
  <c r="O17" i="16" a="1"/>
  <c r="O17" i="16" s="1"/>
  <c r="U17" i="16" a="1"/>
  <c r="U17" i="16" s="1"/>
  <c r="V17" i="16" a="1"/>
  <c r="V17" i="16" s="1"/>
  <c r="N17" i="16" a="1"/>
  <c r="N17" i="16" s="1"/>
  <c r="N9" i="16" a="1"/>
  <c r="N9" i="16" s="1"/>
  <c r="Q17" i="16" a="1"/>
  <c r="Q17" i="16" s="1"/>
  <c r="P18" i="16" a="1"/>
  <c r="P18" i="16" s="1"/>
  <c r="S18" i="16" a="1"/>
  <c r="S18" i="16" s="1"/>
  <c r="O18" i="16" a="1"/>
  <c r="O18" i="16" s="1"/>
  <c r="W18" i="16" a="1"/>
  <c r="W18" i="16" s="1"/>
  <c r="U18" i="16" a="1"/>
  <c r="U18" i="16" s="1"/>
  <c r="R18" i="16" a="1"/>
  <c r="R18" i="16" s="1"/>
  <c r="T18" i="16" a="1"/>
  <c r="T18" i="16" s="1"/>
  <c r="Q18" i="16" a="1"/>
  <c r="Q18" i="16" s="1"/>
  <c r="N18" i="16" a="1"/>
  <c r="N18" i="16" s="1"/>
  <c r="N8" i="16" a="1"/>
  <c r="N8" i="16" s="1"/>
  <c r="V18" i="16" a="1"/>
  <c r="V18" i="16" s="1"/>
  <c r="Q19" i="16" a="1"/>
  <c r="Q19" i="16" s="1"/>
  <c r="S19" i="16" a="1"/>
  <c r="S19" i="16" s="1"/>
  <c r="U19" i="16" a="1"/>
  <c r="U19" i="16" s="1"/>
  <c r="W19" i="16" a="1"/>
  <c r="W19" i="16" s="1"/>
  <c r="V19" i="16" a="1"/>
  <c r="V19" i="16" s="1"/>
  <c r="P19" i="16" a="1"/>
  <c r="P19" i="16" s="1"/>
  <c r="R19" i="16" a="1"/>
  <c r="R19" i="16" s="1"/>
  <c r="O19" i="16" a="1"/>
  <c r="O19" i="16" s="1"/>
  <c r="N19" i="16" a="1"/>
  <c r="N19" i="16" s="1"/>
  <c r="N7" i="16" a="1"/>
  <c r="N7" i="16" s="1"/>
  <c r="T19" i="16" a="1"/>
  <c r="T19" i="16" s="1"/>
  <c r="Q20" i="16" a="1"/>
  <c r="Q20" i="16" s="1"/>
  <c r="P20" i="16" a="1"/>
  <c r="P20" i="16" s="1"/>
  <c r="V20" i="16" a="1"/>
  <c r="V20" i="16" s="1"/>
  <c r="T20" i="16" a="1"/>
  <c r="T20" i="16" s="1"/>
  <c r="S20" i="16" a="1"/>
  <c r="S20" i="16" s="1"/>
  <c r="U20" i="16" a="1"/>
  <c r="U20" i="16" s="1"/>
  <c r="O20" i="16" a="1"/>
  <c r="O20" i="16" s="1"/>
  <c r="R20" i="16" a="1"/>
  <c r="R20" i="16" s="1"/>
  <c r="N20" i="16" a="1"/>
  <c r="N20" i="16" s="1"/>
  <c r="N6" i="16" a="1"/>
  <c r="N6" i="16" s="1"/>
  <c r="W20" i="16" a="1"/>
  <c r="W20" i="16" s="1"/>
  <c r="Q21" i="16" a="1"/>
  <c r="Q21" i="16" s="1"/>
  <c r="V21" i="16" a="1"/>
  <c r="V21" i="16" s="1"/>
  <c r="U21" i="16" a="1"/>
  <c r="U21" i="16" s="1"/>
  <c r="P21" i="16" a="1"/>
  <c r="P21" i="16" s="1"/>
  <c r="S21" i="16" a="1"/>
  <c r="S21" i="16" s="1"/>
  <c r="R21" i="16" a="1"/>
  <c r="R21" i="16" s="1"/>
  <c r="T21" i="16" a="1"/>
  <c r="T21" i="16" s="1"/>
  <c r="O21" i="16" a="1"/>
  <c r="O21" i="16" s="1"/>
  <c r="N21" i="16" a="1"/>
  <c r="N21" i="16" s="1"/>
  <c r="N5" i="16" a="1"/>
  <c r="N5" i="16" s="1"/>
  <c r="W21" i="16" a="1"/>
  <c r="W21" i="16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<sst xmlns="http://schemas.openxmlformats.org/spreadsheetml/2006/main" count="76" uniqueCount="47">
  <si>
    <t>LocationX</t>
  </si>
  <si>
    <t>LocationY</t>
  </si>
  <si>
    <t>Type</t>
  </si>
  <si>
    <t>ArrowUp</t>
  </si>
  <si>
    <t>ArrowLeft</t>
  </si>
  <si>
    <t>ArrowDown</t>
  </si>
  <si>
    <t>ArrowRight</t>
  </si>
  <si>
    <t>isSelected</t>
  </si>
  <si>
    <t>KeyboardKey</t>
  </si>
  <si>
    <t>Current</t>
  </si>
  <si>
    <t>Final</t>
  </si>
  <si>
    <t>KeyboardInputs</t>
  </si>
  <si>
    <t>Color</t>
  </si>
  <si>
    <t>Controlled</t>
  </si>
  <si>
    <t>LocationYInt</t>
  </si>
  <si>
    <t>LocationXInt</t>
  </si>
  <si>
    <t>IsOnFloor</t>
  </si>
  <si>
    <t>DownRate</t>
  </si>
  <si>
    <t>TileTypes</t>
  </si>
  <si>
    <t>Next Tile</t>
  </si>
  <si>
    <t>IsNew</t>
  </si>
  <si>
    <t>X</t>
  </si>
  <si>
    <t>Y</t>
  </si>
  <si>
    <t>TileType</t>
  </si>
  <si>
    <t>TileDirection</t>
  </si>
  <si>
    <t>x0</t>
  </si>
  <si>
    <t>x1</t>
  </si>
  <si>
    <t>x2</t>
  </si>
  <si>
    <t>x3</t>
  </si>
  <si>
    <t>y0</t>
  </si>
  <si>
    <t>y1</t>
  </si>
  <si>
    <t>y3</t>
  </si>
  <si>
    <t>y2</t>
  </si>
  <si>
    <t>ScreenInfoX</t>
  </si>
  <si>
    <t>ScreenInfoY</t>
  </si>
  <si>
    <t>AttemptedNextX</t>
  </si>
  <si>
    <t>AttemptedNextY</t>
  </si>
  <si>
    <t>Attempted</t>
  </si>
  <si>
    <t>CurrentBoard</t>
  </si>
  <si>
    <t>Player</t>
  </si>
  <si>
    <t>NewBoard</t>
  </si>
  <si>
    <t>Filled Cells</t>
  </si>
  <si>
    <t>Remove?</t>
  </si>
  <si>
    <t>Occupied?</t>
  </si>
  <si>
    <t>Game Over?</t>
  </si>
  <si>
    <t>Reversed</t>
  </si>
  <si>
    <t>Rows to Remove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</si>
</sst>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0.000"/>
    <numFmt numFmtId="165" formatCode="&quot;&quot;"/>
    <numFmt numFmtId="166" formatCode="&quot;Score:&quot;\ 0"/>
    <numFmt numFmtId="167" formatCode="&quot;High Score:&quot;\ 0"/>
    <numFmt numFmtId="168" formatCode="&quot;Current Score:&quot;\ 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1"/>
      <color theme="5" tint="-0.249977111117893"/>
      <name val="Calibri"/>
      <family val="2"/>
      <scheme val="minor"/>
    </font>
    <font>
      <b/>
      <i/>
      <sz val="11"/>
      <color theme="8" tint="-0.249977111117893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2"/>
      <color theme="8" tint="-0.249977111117893"/>
      <name val="Calibri"/>
      <family val="2"/>
      <scheme val="minor"/>
    </font>
    <font>
      <sz val="72"/>
      <color rgb="FFC00000"/>
      <name val="Calibri"/>
      <family val="2"/>
      <scheme val="minor"/>
    </font>
    <font>
      <i/>
      <sz val="72"/>
      <color theme="8" tint="-0.499984740745262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6" fillId="0" borderId="0" applyFont="0" applyFill="0" applyBorder="0" applyAlignment="0" applyProtection="0"/>
  </cellStyleXfs>
  <cellXfs count="64">
    <xf numFmtId="0" fontId="0" fillId="0" borderId="0" xfId="0"/>
    <xf numFmtId="0" fontId="1" fillId="0" borderId="0" xfId="0" applyFont="1" applyAlignment="1">
      <alignment horizontal="center"/>
    </xf>
    <xf numFmtId="0" fontId="3" fillId="0" borderId="0" xfId="0" applyFont="1"/>
    <xf numFmtId="0" fontId="0" fillId="0" borderId="0" xfId="0" applyAlignment="1">
      <alignment horizontal="center"/>
    </xf>
    <xf numFmtId="164" fontId="0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Fill="1"/>
    <xf numFmtId="0" fontId="1" fillId="0" borderId="9" xfId="0" applyFont="1" applyBorder="1" applyAlignment="1">
      <alignment horizontal="centerContinuous"/>
    </xf>
    <xf numFmtId="0" fontId="0" fillId="0" borderId="11" xfId="0" applyBorder="1" applyAlignment="1">
      <alignment horizontal="centerContinuous"/>
    </xf>
    <xf numFmtId="164" fontId="0" fillId="2" borderId="0" xfId="0" applyNumberFormat="1" applyFont="1" applyFill="1" applyAlignment="1">
      <alignment horizontal="center"/>
    </xf>
    <xf numFmtId="0" fontId="0" fillId="0" borderId="10" xfId="0" applyBorder="1" applyAlignment="1">
      <alignment horizontal="centerContinuous"/>
    </xf>
    <xf numFmtId="0" fontId="5" fillId="0" borderId="0" xfId="0" applyFont="1" applyAlignment="1">
      <alignment horizontal="center"/>
    </xf>
    <xf numFmtId="1" fontId="0" fillId="2" borderId="0" xfId="0" applyNumberFormat="1" applyFill="1" applyAlignment="1">
      <alignment horizontal="center"/>
    </xf>
    <xf numFmtId="1" fontId="0" fillId="0" borderId="0" xfId="0" applyNumberFormat="1" applyFill="1" applyAlignment="1">
      <alignment horizontal="center"/>
    </xf>
    <xf numFmtId="165" fontId="4" fillId="0" borderId="0" xfId="0" applyNumberFormat="1" applyFont="1" applyAlignment="1">
      <alignment horizontal="center"/>
    </xf>
    <xf numFmtId="165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1" xfId="0" applyNumberFormat="1" applyBorder="1"/>
    <xf numFmtId="165" fontId="0" fillId="0" borderId="2" xfId="0" applyNumberFormat="1" applyBorder="1"/>
    <xf numFmtId="165" fontId="0" fillId="0" borderId="3" xfId="0" applyNumberFormat="1" applyBorder="1"/>
    <xf numFmtId="165" fontId="0" fillId="0" borderId="4" xfId="0" applyNumberFormat="1" applyBorder="1"/>
    <xf numFmtId="165" fontId="0" fillId="0" borderId="0" xfId="0" applyNumberFormat="1" applyBorder="1"/>
    <xf numFmtId="165" fontId="0" fillId="0" borderId="5" xfId="0" applyNumberFormat="1" applyBorder="1"/>
    <xf numFmtId="165" fontId="0" fillId="0" borderId="6" xfId="0" applyNumberFormat="1" applyBorder="1"/>
    <xf numFmtId="165" fontId="0" fillId="0" borderId="7" xfId="0" applyNumberFormat="1" applyBorder="1"/>
    <xf numFmtId="165" fontId="0" fillId="0" borderId="8" xfId="0" applyNumberFormat="1" applyBorder="1"/>
    <xf numFmtId="0" fontId="7" fillId="0" borderId="0" xfId="0" applyFont="1" applyAlignment="1">
      <alignment horizontal="right"/>
    </xf>
    <xf numFmtId="0" fontId="7" fillId="0" borderId="0" xfId="0" applyNumberFormat="1" applyFont="1"/>
    <xf numFmtId="0" fontId="1" fillId="0" borderId="10" xfId="0" applyFont="1" applyBorder="1" applyAlignment="1">
      <alignment horizontal="centerContinuous"/>
    </xf>
    <xf numFmtId="1" fontId="0" fillId="2" borderId="0" xfId="0" applyNumberFormat="1" applyFont="1" applyFill="1" applyAlignment="1">
      <alignment horizontal="center"/>
    </xf>
    <xf numFmtId="1" fontId="0" fillId="0" borderId="0" xfId="0" applyNumberFormat="1" applyFont="1" applyFill="1" applyAlignment="1">
      <alignment horizontal="center"/>
    </xf>
    <xf numFmtId="0" fontId="1" fillId="0" borderId="11" xfId="0" applyFont="1" applyBorder="1" applyAlignment="1">
      <alignment horizontal="centerContinuous"/>
    </xf>
    <xf numFmtId="165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Font="1" applyFill="1" applyAlignment="1">
      <alignment horizontal="center"/>
    </xf>
    <xf numFmtId="165" fontId="0" fillId="0" borderId="1" xfId="1" applyNumberFormat="1" applyFont="1" applyFill="1" applyBorder="1" applyAlignment="1"/>
    <xf numFmtId="165" fontId="0" fillId="0" borderId="2" xfId="1" applyNumberFormat="1" applyFont="1" applyFill="1" applyBorder="1" applyAlignment="1"/>
    <xf numFmtId="165" fontId="0" fillId="0" borderId="3" xfId="1" applyNumberFormat="1" applyFont="1" applyFill="1" applyBorder="1" applyAlignment="1"/>
    <xf numFmtId="165" fontId="0" fillId="0" borderId="4" xfId="1" applyNumberFormat="1" applyFont="1" applyFill="1" applyBorder="1" applyAlignment="1"/>
    <xf numFmtId="165" fontId="0" fillId="0" borderId="0" xfId="1" applyNumberFormat="1" applyFont="1" applyFill="1" applyBorder="1" applyAlignment="1"/>
    <xf numFmtId="165" fontId="0" fillId="0" borderId="5" xfId="1" applyNumberFormat="1" applyFont="1" applyFill="1" applyBorder="1" applyAlignment="1"/>
    <xf numFmtId="165" fontId="0" fillId="0" borderId="6" xfId="1" applyNumberFormat="1" applyFont="1" applyFill="1" applyBorder="1" applyAlignment="1"/>
    <xf numFmtId="165" fontId="0" fillId="0" borderId="7" xfId="1" applyNumberFormat="1" applyFont="1" applyFill="1" applyBorder="1" applyAlignment="1"/>
    <xf numFmtId="165" fontId="0" fillId="0" borderId="8" xfId="1" applyNumberFormat="1" applyFont="1" applyFill="1" applyBorder="1" applyAlignment="1"/>
    <xf numFmtId="0" fontId="0" fillId="0" borderId="0" xfId="0" applyFill="1" applyAlignment="1">
      <alignment horizontal="center"/>
    </xf>
    <xf numFmtId="165" fontId="0" fillId="0" borderId="13" xfId="1" applyNumberFormat="1" applyFont="1" applyFill="1" applyBorder="1" applyAlignment="1"/>
    <xf numFmtId="165" fontId="0" fillId="0" borderId="9" xfId="1" applyNumberFormat="1" applyFont="1" applyFill="1" applyBorder="1" applyAlignment="1"/>
    <xf numFmtId="165" fontId="0" fillId="0" borderId="12" xfId="1" applyNumberFormat="1" applyFont="1" applyFill="1" applyBorder="1" applyAlignment="1"/>
    <xf numFmtId="0" fontId="7" fillId="0" borderId="0" xfId="0" applyFont="1" applyFill="1"/>
    <xf numFmtId="0" fontId="7" fillId="0" borderId="0" xfId="0" applyFont="1" applyAlignment="1">
      <alignment horizontal="center"/>
    </xf>
    <xf numFmtId="1" fontId="0" fillId="0" borderId="0" xfId="0" applyNumberFormat="1"/>
    <xf numFmtId="0" fontId="2" fillId="0" borderId="0" xfId="0" applyFont="1" applyAlignment="1">
      <alignment horizontal="center"/>
    </xf>
    <xf numFmtId="0" fontId="7" fillId="0" borderId="0" xfId="0" applyNumberFormat="1" applyFont="1" applyFill="1"/>
    <xf numFmtId="0" fontId="7" fillId="0" borderId="0" xfId="0" applyFont="1" applyAlignment="1">
      <alignment horizontal="left"/>
    </xf>
    <xf numFmtId="166" fontId="8" fillId="0" borderId="0" xfId="0" applyNumberFormat="1" applyFont="1" applyFill="1" applyAlignment="1">
      <alignment horizontal="center" vertical="center"/>
    </xf>
    <xf numFmtId="1" fontId="0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0" fontId="9" fillId="0" borderId="0" xfId="0" applyFont="1" applyFill="1" applyAlignment="1">
      <alignment horizontal="center" vertical="center"/>
    </xf>
    <xf numFmtId="168" fontId="8" fillId="0" borderId="0" xfId="0" applyNumberFormat="1" applyFont="1" applyFill="1" applyAlignment="1">
      <alignment horizontal="center" vertical="center"/>
    </xf>
    <xf numFmtId="167" fontId="10" fillId="0" borderId="0" xfId="0" applyNumberFormat="1" applyFont="1" applyFill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9525</xdr:colOff>
      <xdr:row>3</xdr:row>
      <xdr:rowOff>8283</xdr:rowOff>
    </xdr:from>
    <xdr:to>
      <xdr:col>13</xdr:col>
      <xdr:colOff>9525</xdr:colOff>
      <xdr:row>5</xdr:row>
      <xdr:rowOff>345701</xdr:rowOff>
    </xdr:to>
    <xdr:sp macro="[0]!StartUp" textlink="">
      <xdr:nvSpPr>
        <xdr:cNvPr id="4" name="Rectangle 3">
          <a:extLst>
            <a:ext uri="{FF2B5EF4-FFF2-40B4-BE49-F238E27FC236}">
              <a16:creationId xmlns:a16="http://schemas.microsoft.com/office/drawing/2014/main" id="{7157E120-37FF-4858-8C4A-A3AF5CF368AD}"/>
            </a:ext>
          </a:extLst>
        </xdr:cNvPr>
        <xdr:cNvSpPr/>
      </xdr:nvSpPr>
      <xdr:spPr>
        <a:xfrm>
          <a:off x="4540112" y="198783"/>
          <a:ext cx="8357152" cy="1049722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4800"/>
            <a:t>PLAY TEXCELLS!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7B9A81-0DBA-4A37-9F4A-660EA94E2019}">
  <sheetPr codeName="Sheet1"/>
  <dimension ref="A1:ER91"/>
  <sheetViews>
    <sheetView tabSelected="1" zoomScale="115" zoomScaleNormal="115" workbookViewId="0">
      <selection activeCell="O7" sqref="O7"/>
    </sheetView>
  </sheetViews>
  <sheetFormatPr defaultRowHeight="15" x14ac:dyDescent="0.25"/>
  <cols>
    <col min="1" max="11" width="5.28515625" customWidth="1"/>
    <col min="13" max="13" width="125.28515625" customWidth="1"/>
  </cols>
  <sheetData>
    <row r="1" spans="1:148" x14ac:dyDescent="0.25">
      <c r="A1" s="8">
        <v>0</v>
      </c>
      <c r="B1" s="55">
        <v>0</v>
      </c>
      <c r="C1" s="55">
        <v>1</v>
      </c>
      <c r="D1" s="55">
        <v>2</v>
      </c>
      <c r="E1" s="55">
        <v>3</v>
      </c>
      <c r="F1" s="55">
        <v>4</v>
      </c>
      <c r="G1" s="55">
        <v>5</v>
      </c>
      <c r="H1" s="55">
        <v>6</v>
      </c>
      <c r="I1" s="55">
        <v>7</v>
      </c>
      <c r="J1" s="55">
        <v>8</v>
      </c>
      <c r="K1" s="55">
        <v>9</v>
      </c>
    </row>
    <row r="2" spans="1:148" ht="27.75" hidden="1" customHeight="1" x14ac:dyDescent="0.25">
      <c r="A2" s="8">
        <v>17</v>
      </c>
      <c r="B2" s="39" cm="1">
        <f t="array" aca="1" ref="B2" ca="1">SUM(IF(B$1=INDIRECT("Entities!$AL$7:$AN$"&amp;(7+Entities!$B$3-1)),IF($A2=INDIRECT("Entities!$AP$7:$AR$"&amp;(7+Entities!$B$3-1)),1,0),0))+Board!B5</f>
        <v>0</v>
      </c>
      <c r="C2" s="40" cm="1">
        <f t="array" aca="1" ref="C2" ca="1">SUM(IF(C$1=INDIRECT("Entities!$AL$7:$AN$"&amp;(7+Entities!$B$3-1)),IF($A2=INDIRECT("Entities!$AP$7:$AR$"&amp;(7+Entities!$B$3-1)),1,0),0))+Board!C5</f>
        <v>0</v>
      </c>
      <c r="D2" s="40" cm="1">
        <f t="array" aca="1" ref="D2" ca="1">SUM(IF(D$1=INDIRECT("Entities!$AL$7:$AN$"&amp;(7+Entities!$B$3-1)),IF($A2=INDIRECT("Entities!$AP$7:$AR$"&amp;(7+Entities!$B$3-1)),1,0),0))+Board!D5</f>
        <v>0</v>
      </c>
      <c r="E2" s="40" cm="1">
        <f t="array" aca="1" ref="E2" ca="1">SUM(IF(E$1=INDIRECT("Entities!$AL$7:$AN$"&amp;(7+Entities!$B$3-1)),IF($A2=INDIRECT("Entities!$AP$7:$AR$"&amp;(7+Entities!$B$3-1)),1,0),0))+Board!E5</f>
        <v>0</v>
      </c>
      <c r="F2" s="40" cm="1">
        <f t="array" aca="1" ref="F2" ca="1">SUM(IF(F$1=INDIRECT("Entities!$AL$7:$AN$"&amp;(7+Entities!$B$3-1)),IF($A2=INDIRECT("Entities!$AP$7:$AR$"&amp;(7+Entities!$B$3-1)),1,0),0))+Board!F5</f>
        <v>0</v>
      </c>
      <c r="G2" s="40" cm="1">
        <f t="array" aca="1" ref="G2" ca="1">SUM(IF(G$1=INDIRECT("Entities!$AL$7:$AN$"&amp;(7+Entities!$B$3-1)),IF($A2=INDIRECT("Entities!$AP$7:$AR$"&amp;(7+Entities!$B$3-1)),1,0),0))+Board!G5</f>
        <v>3</v>
      </c>
      <c r="H2" s="40" cm="1">
        <f t="array" aca="1" ref="H2" ca="1">SUM(IF(H$1=INDIRECT("Entities!$AL$7:$AN$"&amp;(7+Entities!$B$3-1)),IF($A2=INDIRECT("Entities!$AP$7:$AR$"&amp;(7+Entities!$B$3-1)),1,0),0))+Board!H5</f>
        <v>0</v>
      </c>
      <c r="I2" s="40" cm="1">
        <f t="array" aca="1" ref="I2" ca="1">SUM(IF(I$1=INDIRECT("Entities!$AL$7:$AN$"&amp;(7+Entities!$B$3-1)),IF($A2=INDIRECT("Entities!$AP$7:$AR$"&amp;(7+Entities!$B$3-1)),1,0),0))+Board!I5</f>
        <v>0</v>
      </c>
      <c r="J2" s="40" cm="1">
        <f t="array" aca="1" ref="J2" ca="1">SUM(IF(J$1=INDIRECT("Entities!$AL$7:$AN$"&amp;(7+Entities!$B$3-1)),IF($A2=INDIRECT("Entities!$AP$7:$AR$"&amp;(7+Entities!$B$3-1)),1,0),0))+Board!J5</f>
        <v>0</v>
      </c>
      <c r="K2" s="41" cm="1">
        <f t="array" aca="1" ref="K2" ca="1">SUM(IF(K$1=INDIRECT("Entities!$AL$7:$AN$"&amp;(7+Entities!$B$3-1)),IF($A2=INDIRECT("Entities!$AP$7:$AR$"&amp;(7+Entities!$B$3-1)),1,0),0))+Board!K5</f>
        <v>0</v>
      </c>
      <c r="L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0"/>
      <c r="CY2" s="10"/>
      <c r="CZ2" s="10"/>
      <c r="DA2" s="10"/>
      <c r="DB2" s="10"/>
      <c r="DC2" s="10"/>
      <c r="DD2" s="10"/>
      <c r="DE2" s="10"/>
      <c r="DF2" s="10"/>
      <c r="DG2" s="10"/>
      <c r="DH2" s="10"/>
      <c r="DI2" s="10"/>
      <c r="DJ2" s="10"/>
      <c r="DK2" s="10"/>
      <c r="DL2" s="10"/>
      <c r="DM2" s="10"/>
      <c r="DN2" s="10"/>
      <c r="DO2" s="10"/>
      <c r="DP2" s="10"/>
      <c r="DQ2" s="10"/>
      <c r="DR2" s="10"/>
      <c r="DS2" s="10"/>
      <c r="DT2" s="10"/>
      <c r="DU2" s="10"/>
      <c r="DV2" s="10"/>
      <c r="DW2" s="10"/>
      <c r="DX2" s="10"/>
      <c r="DY2" s="10"/>
      <c r="DZ2" s="10"/>
      <c r="EA2" s="10"/>
      <c r="EB2" s="10"/>
      <c r="EC2" s="10"/>
      <c r="ED2" s="10"/>
      <c r="EE2" s="10"/>
      <c r="EF2" s="10"/>
      <c r="EG2" s="10"/>
      <c r="EH2" s="10"/>
      <c r="EI2" s="10"/>
      <c r="EJ2" s="10"/>
      <c r="EK2" s="10"/>
      <c r="EL2" s="10"/>
      <c r="EM2" s="10"/>
      <c r="EN2" s="10"/>
      <c r="EO2" s="10"/>
      <c r="EP2" s="10"/>
      <c r="EQ2" s="10"/>
      <c r="ER2" s="10"/>
    </row>
    <row r="3" spans="1:148" ht="27.75" hidden="1" customHeight="1" x14ac:dyDescent="0.25">
      <c r="A3" s="8">
        <v>16</v>
      </c>
      <c r="B3" s="42" cm="1">
        <f t="array" aca="1" ref="B3" ca="1">SUM(IF(B$1=INDIRECT("Entities!$AL$7:$AN$"&amp;(7+Entities!$B$3-1)),IF($A3=INDIRECT("Entities!$AP$7:$AR$"&amp;(7+Entities!$B$3-1)),1,0),0))+Board!B6</f>
        <v>0</v>
      </c>
      <c r="C3" s="43" cm="1">
        <f t="array" aca="1" ref="C3" ca="1">SUM(IF(C$1=INDIRECT("Entities!$AL$7:$AN$"&amp;(7+Entities!$B$3-1)),IF($A3=INDIRECT("Entities!$AP$7:$AR$"&amp;(7+Entities!$B$3-1)),1,0),0))+Board!C6</f>
        <v>0</v>
      </c>
      <c r="D3" s="43" cm="1">
        <f t="array" aca="1" ref="D3" ca="1">SUM(IF(D$1=INDIRECT("Entities!$AL$7:$AN$"&amp;(7+Entities!$B$3-1)),IF($A3=INDIRECT("Entities!$AP$7:$AR$"&amp;(7+Entities!$B$3-1)),1,0),0))+Board!D6</f>
        <v>0</v>
      </c>
      <c r="E3" s="43" cm="1">
        <f t="array" aca="1" ref="E3" ca="1">SUM(IF(E$1=INDIRECT("Entities!$AL$7:$AN$"&amp;(7+Entities!$B$3-1)),IF($A3=INDIRECT("Entities!$AP$7:$AR$"&amp;(7+Entities!$B$3-1)),1,0),0))+Board!E6</f>
        <v>0</v>
      </c>
      <c r="F3" s="43" cm="1">
        <f t="array" aca="1" ref="F3" ca="1">SUM(IF(F$1=INDIRECT("Entities!$AL$7:$AN$"&amp;(7+Entities!$B$3-1)),IF($A3=INDIRECT("Entities!$AP$7:$AR$"&amp;(7+Entities!$B$3-1)),1,0),0))+Board!F6</f>
        <v>0</v>
      </c>
      <c r="G3" s="43" cm="1">
        <f t="array" aca="1" ref="G3" ca="1">SUM(IF(G$1=INDIRECT("Entities!$AL$7:$AN$"&amp;(7+Entities!$B$3-1)),IF($A3=INDIRECT("Entities!$AP$7:$AR$"&amp;(7+Entities!$B$3-1)),1,0),0))+Board!G6</f>
        <v>2</v>
      </c>
      <c r="H3" s="43" cm="1">
        <f t="array" aca="1" ref="H3" ca="1">SUM(IF(H$1=INDIRECT("Entities!$AL$7:$AN$"&amp;(7+Entities!$B$3-1)),IF($A3=INDIRECT("Entities!$AP$7:$AR$"&amp;(7+Entities!$B$3-1)),1,0),0))+Board!H6</f>
        <v>1</v>
      </c>
      <c r="I3" s="43" cm="1">
        <f t="array" aca="1" ref="I3" ca="1">SUM(IF(I$1=INDIRECT("Entities!$AL$7:$AN$"&amp;(7+Entities!$B$3-1)),IF($A3=INDIRECT("Entities!$AP$7:$AR$"&amp;(7+Entities!$B$3-1)),1,0),0))+Board!I6</f>
        <v>0</v>
      </c>
      <c r="J3" s="43" cm="1">
        <f t="array" aca="1" ref="J3" ca="1">SUM(IF(J$1=INDIRECT("Entities!$AL$7:$AN$"&amp;(7+Entities!$B$3-1)),IF($A3=INDIRECT("Entities!$AP$7:$AR$"&amp;(7+Entities!$B$3-1)),1,0),0))+Board!J6</f>
        <v>0</v>
      </c>
      <c r="K3" s="44" cm="1">
        <f t="array" aca="1" ref="K3" ca="1">SUM(IF(K$1=INDIRECT("Entities!$AL$7:$AN$"&amp;(7+Entities!$B$3-1)),IF($A3=INDIRECT("Entities!$AP$7:$AR$"&amp;(7+Entities!$B$3-1)),1,0),0))+Board!K6</f>
        <v>0</v>
      </c>
      <c r="L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0"/>
      <c r="CY3" s="10"/>
      <c r="CZ3" s="10"/>
      <c r="DA3" s="10"/>
      <c r="DB3" s="10"/>
      <c r="DC3" s="10"/>
      <c r="DD3" s="10"/>
      <c r="DE3" s="10"/>
      <c r="DF3" s="10"/>
      <c r="DG3" s="10"/>
      <c r="DH3" s="10"/>
      <c r="DI3" s="10"/>
      <c r="DJ3" s="10"/>
      <c r="DK3" s="10"/>
      <c r="DL3" s="10"/>
      <c r="DM3" s="10"/>
      <c r="DN3" s="10"/>
      <c r="DO3" s="10"/>
      <c r="DP3" s="10"/>
      <c r="DQ3" s="10"/>
      <c r="DR3" s="10"/>
      <c r="DS3" s="10"/>
      <c r="DT3" s="10"/>
      <c r="DU3" s="10"/>
      <c r="DV3" s="10"/>
      <c r="DW3" s="10"/>
      <c r="DX3" s="10"/>
      <c r="DY3" s="10"/>
      <c r="DZ3" s="10"/>
      <c r="EA3" s="10"/>
      <c r="EB3" s="10"/>
      <c r="EC3" s="10"/>
      <c r="ED3" s="10"/>
      <c r="EE3" s="10"/>
      <c r="EF3" s="10"/>
      <c r="EG3" s="10"/>
      <c r="EH3" s="10"/>
      <c r="EI3" s="10"/>
      <c r="EJ3" s="10"/>
      <c r="EK3" s="10"/>
      <c r="EL3" s="10"/>
      <c r="EM3" s="10"/>
      <c r="EN3" s="10"/>
      <c r="EO3" s="10"/>
      <c r="EP3" s="10"/>
      <c r="EQ3" s="10"/>
      <c r="ER3" s="10"/>
    </row>
    <row r="4" spans="1:148" ht="27.75" customHeight="1" x14ac:dyDescent="0.25">
      <c r="A4" s="8">
        <v>15</v>
      </c>
      <c r="B4" s="39" cm="1">
        <f t="array" aca="1" ref="B4" ca="1">SUM(IF(B$1=INDIRECT("Entities!$AL$7:$AN$"&amp;(7+Entities!$B$3-1)),IF($A4=INDIRECT("Entities!$AP$7:$AR$"&amp;(7+Entities!$B$3-1)),1,0),0))+Board!B7</f>
        <v>0</v>
      </c>
      <c r="C4" s="40" cm="1">
        <f t="array" aca="1" ref="C4" ca="1">SUM(IF(C$1=INDIRECT("Entities!$AL$7:$AN$"&amp;(7+Entities!$B$3-1)),IF($A4=INDIRECT("Entities!$AP$7:$AR$"&amp;(7+Entities!$B$3-1)),1,0),0))+Board!C7</f>
        <v>0</v>
      </c>
      <c r="D4" s="40" cm="1">
        <f t="array" aca="1" ref="D4" ca="1">SUM(IF(D$1=INDIRECT("Entities!$AL$7:$AN$"&amp;(7+Entities!$B$3-1)),IF($A4=INDIRECT("Entities!$AP$7:$AR$"&amp;(7+Entities!$B$3-1)),1,0),0))+Board!D7</f>
        <v>0</v>
      </c>
      <c r="E4" s="40" cm="1">
        <f t="array" aca="1" ref="E4" ca="1">SUM(IF(E$1=INDIRECT("Entities!$AL$7:$AN$"&amp;(7+Entities!$B$3-1)),IF($A4=INDIRECT("Entities!$AP$7:$AR$"&amp;(7+Entities!$B$3-1)),1,0),0))+Board!E7</f>
        <v>0</v>
      </c>
      <c r="F4" s="40" cm="1">
        <f t="array" aca="1" ref="F4" ca="1">SUM(IF(F$1=INDIRECT("Entities!$AL$7:$AN$"&amp;(7+Entities!$B$3-1)),IF($A4=INDIRECT("Entities!$AP$7:$AR$"&amp;(7+Entities!$B$3-1)),1,0),0))+Board!F7</f>
        <v>0</v>
      </c>
      <c r="G4" s="40" cm="1">
        <f t="array" aca="1" ref="G4" ca="1">SUM(IF(G$1=INDIRECT("Entities!$AL$7:$AN$"&amp;(7+Entities!$B$3-1)),IF($A4=INDIRECT("Entities!$AP$7:$AR$"&amp;(7+Entities!$B$3-1)),1,0),0))+Board!G7</f>
        <v>0</v>
      </c>
      <c r="H4" s="40" cm="1">
        <f t="array" aca="1" ref="H4" ca="1">SUM(IF(H$1=INDIRECT("Entities!$AL$7:$AN$"&amp;(7+Entities!$B$3-1)),IF($A4=INDIRECT("Entities!$AP$7:$AR$"&amp;(7+Entities!$B$3-1)),1,0),0))+Board!H7</f>
        <v>1</v>
      </c>
      <c r="I4" s="40" cm="1">
        <f t="array" aca="1" ref="I4" ca="1">SUM(IF(I$1=INDIRECT("Entities!$AL$7:$AN$"&amp;(7+Entities!$B$3-1)),IF($A4=INDIRECT("Entities!$AP$7:$AR$"&amp;(7+Entities!$B$3-1)),1,0),0))+Board!I7</f>
        <v>0</v>
      </c>
      <c r="J4" s="40" cm="1">
        <f t="array" aca="1" ref="J4" ca="1">SUM(IF(J$1=INDIRECT("Entities!$AL$7:$AN$"&amp;(7+Entities!$B$3-1)),IF($A4=INDIRECT("Entities!$AP$7:$AR$"&amp;(7+Entities!$B$3-1)),1,0),0))+Board!J7</f>
        <v>0</v>
      </c>
      <c r="K4" s="41" cm="1">
        <f t="array" aca="1" ref="K4" ca="1">SUM(IF(K$1=INDIRECT("Entities!$AL$7:$AN$"&amp;(7+Entities!$B$3-1)),IF($A4=INDIRECT("Entities!$AP$7:$AR$"&amp;(7+Entities!$B$3-1)),1,0),0))+Board!K7</f>
        <v>0</v>
      </c>
      <c r="L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0"/>
      <c r="CY4" s="10"/>
      <c r="CZ4" s="10"/>
      <c r="DA4" s="10"/>
      <c r="DB4" s="10"/>
      <c r="DC4" s="10"/>
      <c r="DD4" s="10"/>
      <c r="DE4" s="10"/>
      <c r="DF4" s="10"/>
      <c r="DG4" s="10"/>
      <c r="DH4" s="10"/>
      <c r="DI4" s="10"/>
      <c r="DJ4" s="10"/>
      <c r="DK4" s="10"/>
      <c r="DL4" s="10"/>
      <c r="DM4" s="10"/>
      <c r="DN4" s="10"/>
      <c r="DO4" s="10"/>
      <c r="DP4" s="10"/>
      <c r="DQ4" s="10"/>
      <c r="DR4" s="10"/>
      <c r="DS4" s="10"/>
      <c r="DT4" s="10"/>
      <c r="DU4" s="10"/>
      <c r="DV4" s="10"/>
      <c r="DW4" s="10"/>
      <c r="DX4" s="10"/>
      <c r="DY4" s="10"/>
      <c r="DZ4" s="10"/>
      <c r="EA4" s="10"/>
      <c r="EB4" s="10"/>
      <c r="EC4" s="10"/>
      <c r="ED4" s="10"/>
      <c r="EE4" s="10"/>
      <c r="EF4" s="10"/>
      <c r="EG4" s="10"/>
      <c r="EH4" s="10"/>
      <c r="EI4" s="10"/>
      <c r="EJ4" s="10"/>
      <c r="EK4" s="10"/>
      <c r="EL4" s="10"/>
      <c r="EM4" s="10"/>
      <c r="EN4" s="10"/>
      <c r="EO4" s="10"/>
      <c r="EP4" s="10"/>
      <c r="EQ4" s="10"/>
      <c r="ER4" s="10"/>
    </row>
    <row r="5" spans="1:148" ht="27.75" customHeight="1" x14ac:dyDescent="0.25">
      <c r="A5" s="8">
        <v>14</v>
      </c>
      <c r="B5" s="42" cm="1">
        <f t="array" aca="1" ref="B5" ca="1">SUM(IF(B$1=INDIRECT("Entities!$AL$7:$AN$"&amp;(7+Entities!$B$3-1)),IF($A5=INDIRECT("Entities!$AP$7:$AR$"&amp;(7+Entities!$B$3-1)),1,0),0))+Board!B8</f>
        <v>0</v>
      </c>
      <c r="C5" s="43" cm="1">
        <f t="array" aca="1" ref="C5" ca="1">SUM(IF(C$1=INDIRECT("Entities!$AL$7:$AN$"&amp;(7+Entities!$B$3-1)),IF($A5=INDIRECT("Entities!$AP$7:$AR$"&amp;(7+Entities!$B$3-1)),1,0),0))+Board!C8</f>
        <v>0</v>
      </c>
      <c r="D5" s="43" cm="1">
        <f t="array" aca="1" ref="D5" ca="1">SUM(IF(D$1=INDIRECT("Entities!$AL$7:$AN$"&amp;(7+Entities!$B$3-1)),IF($A5=INDIRECT("Entities!$AP$7:$AR$"&amp;(7+Entities!$B$3-1)),1,0),0))+Board!D8</f>
        <v>0</v>
      </c>
      <c r="E5" s="43" cm="1">
        <f t="array" aca="1" ref="E5" ca="1">SUM(IF(E$1=INDIRECT("Entities!$AL$7:$AN$"&amp;(7+Entities!$B$3-1)),IF($A5=INDIRECT("Entities!$AP$7:$AR$"&amp;(7+Entities!$B$3-1)),1,0),0))+Board!E8</f>
        <v>0</v>
      </c>
      <c r="F5" s="43" cm="1">
        <f t="array" aca="1" ref="F5" ca="1">SUM(IF(F$1=INDIRECT("Entities!$AL$7:$AN$"&amp;(7+Entities!$B$3-1)),IF($A5=INDIRECT("Entities!$AP$7:$AR$"&amp;(7+Entities!$B$3-1)),1,0),0))+Board!F8</f>
        <v>0</v>
      </c>
      <c r="G5" s="43" cm="1">
        <f t="array" aca="1" ref="G5" ca="1">SUM(IF(G$1=INDIRECT("Entities!$AL$7:$AN$"&amp;(7+Entities!$B$3-1)),IF($A5=INDIRECT("Entities!$AP$7:$AR$"&amp;(7+Entities!$B$3-1)),1,0),0))+Board!G8</f>
        <v>1</v>
      </c>
      <c r="H5" s="43" cm="1">
        <f t="array" aca="1" ref="H5" ca="1">SUM(IF(H$1=INDIRECT("Entities!$AL$7:$AN$"&amp;(7+Entities!$B$3-1)),IF($A5=INDIRECT("Entities!$AP$7:$AR$"&amp;(7+Entities!$B$3-1)),1,0),0))+Board!H8</f>
        <v>0</v>
      </c>
      <c r="I5" s="43" cm="1">
        <f t="array" aca="1" ref="I5" ca="1">SUM(IF(I$1=INDIRECT("Entities!$AL$7:$AN$"&amp;(7+Entities!$B$3-1)),IF($A5=INDIRECT("Entities!$AP$7:$AR$"&amp;(7+Entities!$B$3-1)),1,0),0))+Board!I8</f>
        <v>0</v>
      </c>
      <c r="J5" s="43" cm="1">
        <f t="array" aca="1" ref="J5" ca="1">SUM(IF(J$1=INDIRECT("Entities!$AL$7:$AN$"&amp;(7+Entities!$B$3-1)),IF($A5=INDIRECT("Entities!$AP$7:$AR$"&amp;(7+Entities!$B$3-1)),1,0),0))+Board!J8</f>
        <v>0</v>
      </c>
      <c r="K5" s="44" cm="1">
        <f t="array" aca="1" ref="K5" ca="1">SUM(IF(K$1=INDIRECT("Entities!$AL$7:$AN$"&amp;(7+Entities!$B$3-1)),IF($A5=INDIRECT("Entities!$AP$7:$AR$"&amp;(7+Entities!$B$3-1)),1,0),0))+Board!K8</f>
        <v>0</v>
      </c>
      <c r="L5" s="10"/>
      <c r="M5" s="58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</row>
    <row r="6" spans="1:148" ht="27.75" customHeight="1" x14ac:dyDescent="0.25">
      <c r="A6" s="8">
        <v>13</v>
      </c>
      <c r="B6" s="42" cm="1">
        <f t="array" aca="1" ref="B6" ca="1">SUM(IF(B$1=INDIRECT("Entities!$AL$7:$AN$"&amp;(7+Entities!$B$3-1)),IF($A6=INDIRECT("Entities!$AP$7:$AR$"&amp;(7+Entities!$B$3-1)),1,0),0))+Board!B9</f>
        <v>0</v>
      </c>
      <c r="C6" s="43" cm="1">
        <f t="array" aca="1" ref="C6" ca="1">SUM(IF(C$1=INDIRECT("Entities!$AL$7:$AN$"&amp;(7+Entities!$B$3-1)),IF($A6=INDIRECT("Entities!$AP$7:$AR$"&amp;(7+Entities!$B$3-1)),1,0),0))+Board!C9</f>
        <v>0</v>
      </c>
      <c r="D6" s="43" cm="1">
        <f t="array" aca="1" ref="D6" ca="1">SUM(IF(D$1=INDIRECT("Entities!$AL$7:$AN$"&amp;(7+Entities!$B$3-1)),IF($A6=INDIRECT("Entities!$AP$7:$AR$"&amp;(7+Entities!$B$3-1)),1,0),0))+Board!D9</f>
        <v>0</v>
      </c>
      <c r="E6" s="43" cm="1">
        <f t="array" aca="1" ref="E6" ca="1">SUM(IF(E$1=INDIRECT("Entities!$AL$7:$AN$"&amp;(7+Entities!$B$3-1)),IF($A6=INDIRECT("Entities!$AP$7:$AR$"&amp;(7+Entities!$B$3-1)),1,0),0))+Board!E9</f>
        <v>0</v>
      </c>
      <c r="F6" s="43" cm="1">
        <f t="array" aca="1" ref="F6" ca="1">SUM(IF(F$1=INDIRECT("Entities!$AL$7:$AN$"&amp;(7+Entities!$B$3-1)),IF($A6=INDIRECT("Entities!$AP$7:$AR$"&amp;(7+Entities!$B$3-1)),1,0),0))+Board!F9</f>
        <v>0</v>
      </c>
      <c r="G6" s="43" cm="1">
        <f t="array" aca="1" ref="G6" ca="1">SUM(IF(G$1=INDIRECT("Entities!$AL$7:$AN$"&amp;(7+Entities!$B$3-1)),IF($A6=INDIRECT("Entities!$AP$7:$AR$"&amp;(7+Entities!$B$3-1)),1,0),0))+Board!G9</f>
        <v>0</v>
      </c>
      <c r="H6" s="43" cm="1">
        <f t="array" aca="1" ref="H6" ca="1">SUM(IF(H$1=INDIRECT("Entities!$AL$7:$AN$"&amp;(7+Entities!$B$3-1)),IF($A6=INDIRECT("Entities!$AP$7:$AR$"&amp;(7+Entities!$B$3-1)),1,0),0))+Board!H9</f>
        <v>1</v>
      </c>
      <c r="I6" s="43" cm="1">
        <f t="array" aca="1" ref="I6" ca="1">SUM(IF(I$1=INDIRECT("Entities!$AL$7:$AN$"&amp;(7+Entities!$B$3-1)),IF($A6=INDIRECT("Entities!$AP$7:$AR$"&amp;(7+Entities!$B$3-1)),1,0),0))+Board!I9</f>
        <v>0</v>
      </c>
      <c r="J6" s="43" cm="1">
        <f t="array" aca="1" ref="J6" ca="1">SUM(IF(J$1=INDIRECT("Entities!$AL$7:$AN$"&amp;(7+Entities!$B$3-1)),IF($A6=INDIRECT("Entities!$AP$7:$AR$"&amp;(7+Entities!$B$3-1)),1,0),0))+Board!J9</f>
        <v>0</v>
      </c>
      <c r="K6" s="44" cm="1">
        <f t="array" aca="1" ref="K6" ca="1">SUM(IF(K$1=INDIRECT("Entities!$AL$7:$AN$"&amp;(7+Entities!$B$3-1)),IF($A6=INDIRECT("Entities!$AP$7:$AR$"&amp;(7+Entities!$B$3-1)),1,0),0))+Board!K9</f>
        <v>0</v>
      </c>
      <c r="L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</row>
    <row r="7" spans="1:148" ht="27.75" customHeight="1" x14ac:dyDescent="0.25">
      <c r="A7" s="8">
        <v>12</v>
      </c>
      <c r="B7" s="42" cm="1">
        <f t="array" aca="1" ref="B7" ca="1">SUM(IF(B$1=INDIRECT("Entities!$AL$7:$AN$"&amp;(7+Entities!$B$3-1)),IF($A7=INDIRECT("Entities!$AP$7:$AR$"&amp;(7+Entities!$B$3-1)),1,0),0))+Board!B10</f>
        <v>0</v>
      </c>
      <c r="C7" s="43" cm="1">
        <f t="array" aca="1" ref="C7" ca="1">SUM(IF(C$1=INDIRECT("Entities!$AL$7:$AN$"&amp;(7+Entities!$B$3-1)),IF($A7=INDIRECT("Entities!$AP$7:$AR$"&amp;(7+Entities!$B$3-1)),1,0),0))+Board!C10</f>
        <v>0</v>
      </c>
      <c r="D7" s="43" cm="1">
        <f t="array" aca="1" ref="D7" ca="1">SUM(IF(D$1=INDIRECT("Entities!$AL$7:$AN$"&amp;(7+Entities!$B$3-1)),IF($A7=INDIRECT("Entities!$AP$7:$AR$"&amp;(7+Entities!$B$3-1)),1,0),0))+Board!D10</f>
        <v>0</v>
      </c>
      <c r="E7" s="43" cm="1">
        <f t="array" aca="1" ref="E7" ca="1">SUM(IF(E$1=INDIRECT("Entities!$AL$7:$AN$"&amp;(7+Entities!$B$3-1)),IF($A7=INDIRECT("Entities!$AP$7:$AR$"&amp;(7+Entities!$B$3-1)),1,0),0))+Board!E10</f>
        <v>0</v>
      </c>
      <c r="F7" s="43" cm="1">
        <f t="array" aca="1" ref="F7" ca="1">SUM(IF(F$1=INDIRECT("Entities!$AL$7:$AN$"&amp;(7+Entities!$B$3-1)),IF($A7=INDIRECT("Entities!$AP$7:$AR$"&amp;(7+Entities!$B$3-1)),1,0),0))+Board!F10</f>
        <v>0</v>
      </c>
      <c r="G7" s="43" cm="1">
        <f t="array" aca="1" ref="G7" ca="1">SUM(IF(G$1=INDIRECT("Entities!$AL$7:$AN$"&amp;(7+Entities!$B$3-1)),IF($A7=INDIRECT("Entities!$AP$7:$AR$"&amp;(7+Entities!$B$3-1)),1,0),0))+Board!G10</f>
        <v>0</v>
      </c>
      <c r="H7" s="43" cm="1">
        <f t="array" aca="1" ref="H7" ca="1">SUM(IF(H$1=INDIRECT("Entities!$AL$7:$AN$"&amp;(7+Entities!$B$3-1)),IF($A7=INDIRECT("Entities!$AP$7:$AR$"&amp;(7+Entities!$B$3-1)),1,0),0))+Board!H10</f>
        <v>1</v>
      </c>
      <c r="I7" s="43" cm="1">
        <f t="array" aca="1" ref="I7" ca="1">SUM(IF(I$1=INDIRECT("Entities!$AL$7:$AN$"&amp;(7+Entities!$B$3-1)),IF($A7=INDIRECT("Entities!$AP$7:$AR$"&amp;(7+Entities!$B$3-1)),1,0),0))+Board!I10</f>
        <v>0</v>
      </c>
      <c r="J7" s="43" cm="1">
        <f t="array" aca="1" ref="J7" ca="1">SUM(IF(J$1=INDIRECT("Entities!$AL$7:$AN$"&amp;(7+Entities!$B$3-1)),IF($A7=INDIRECT("Entities!$AP$7:$AR$"&amp;(7+Entities!$B$3-1)),1,0),0))+Board!J10</f>
        <v>0</v>
      </c>
      <c r="K7" s="44" cm="1">
        <f t="array" aca="1" ref="K7" ca="1">SUM(IF(K$1=INDIRECT("Entities!$AL$7:$AN$"&amp;(7+Entities!$B$3-1)),IF($A7=INDIRECT("Entities!$AP$7:$AR$"&amp;(7+Entities!$B$3-1)),1,0),0))+Board!K10</f>
        <v>0</v>
      </c>
      <c r="L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</row>
    <row r="8" spans="1:148" ht="27.75" customHeight="1" x14ac:dyDescent="0.25">
      <c r="A8" s="8">
        <v>11</v>
      </c>
      <c r="B8" s="42" cm="1">
        <f t="array" aca="1" ref="B8" ca="1">SUM(IF(B$1=INDIRECT("Entities!$AL$7:$AN$"&amp;(7+Entities!$B$3-1)),IF($A8=INDIRECT("Entities!$AP$7:$AR$"&amp;(7+Entities!$B$3-1)),1,0),0))+Board!B11</f>
        <v>0</v>
      </c>
      <c r="C8" s="43" cm="1">
        <f t="array" aca="1" ref="C8" ca="1">SUM(IF(C$1=INDIRECT("Entities!$AL$7:$AN$"&amp;(7+Entities!$B$3-1)),IF($A8=INDIRECT("Entities!$AP$7:$AR$"&amp;(7+Entities!$B$3-1)),1,0),0))+Board!C11</f>
        <v>0</v>
      </c>
      <c r="D8" s="43" cm="1">
        <f t="array" aca="1" ref="D8" ca="1">SUM(IF(D$1=INDIRECT("Entities!$AL$7:$AN$"&amp;(7+Entities!$B$3-1)),IF($A8=INDIRECT("Entities!$AP$7:$AR$"&amp;(7+Entities!$B$3-1)),1,0),0))+Board!D11</f>
        <v>0</v>
      </c>
      <c r="E8" s="43" cm="1">
        <f t="array" aca="1" ref="E8" ca="1">SUM(IF(E$1=INDIRECT("Entities!$AL$7:$AN$"&amp;(7+Entities!$B$3-1)),IF($A8=INDIRECT("Entities!$AP$7:$AR$"&amp;(7+Entities!$B$3-1)),1,0),0))+Board!E11</f>
        <v>0</v>
      </c>
      <c r="F8" s="43" cm="1">
        <f t="array" aca="1" ref="F8" ca="1">SUM(IF(F$1=INDIRECT("Entities!$AL$7:$AN$"&amp;(7+Entities!$B$3-1)),IF($A8=INDIRECT("Entities!$AP$7:$AR$"&amp;(7+Entities!$B$3-1)),1,0),0))+Board!F11</f>
        <v>0</v>
      </c>
      <c r="G8" s="43" cm="1">
        <f t="array" aca="1" ref="G8" ca="1">SUM(IF(G$1=INDIRECT("Entities!$AL$7:$AN$"&amp;(7+Entities!$B$3-1)),IF($A8=INDIRECT("Entities!$AP$7:$AR$"&amp;(7+Entities!$B$3-1)),1,0),0))+Board!G11</f>
        <v>1</v>
      </c>
      <c r="H8" s="43" cm="1">
        <f t="array" aca="1" ref="H8" ca="1">SUM(IF(H$1=INDIRECT("Entities!$AL$7:$AN$"&amp;(7+Entities!$B$3-1)),IF($A8=INDIRECT("Entities!$AP$7:$AR$"&amp;(7+Entities!$B$3-1)),1,0),0))+Board!H11</f>
        <v>0</v>
      </c>
      <c r="I8" s="43" cm="1">
        <f t="array" aca="1" ref="I8" ca="1">SUM(IF(I$1=INDIRECT("Entities!$AL$7:$AN$"&amp;(7+Entities!$B$3-1)),IF($A8=INDIRECT("Entities!$AP$7:$AR$"&amp;(7+Entities!$B$3-1)),1,0),0))+Board!I11</f>
        <v>0</v>
      </c>
      <c r="J8" s="43" cm="1">
        <f t="array" aca="1" ref="J8" ca="1">SUM(IF(J$1=INDIRECT("Entities!$AL$7:$AN$"&amp;(7+Entities!$B$3-1)),IF($A8=INDIRECT("Entities!$AP$7:$AR$"&amp;(7+Entities!$B$3-1)),1,0),0))+Board!J11</f>
        <v>0</v>
      </c>
      <c r="K8" s="44" cm="1">
        <f t="array" aca="1" ref="K8" ca="1">SUM(IF(K$1=INDIRECT("Entities!$AL$7:$AN$"&amp;(7+Entities!$B$3-1)),IF($A8=INDIRECT("Entities!$AP$7:$AR$"&amp;(7+Entities!$B$3-1)),1,0),0))+Board!K11</f>
        <v>0</v>
      </c>
      <c r="L8" s="10"/>
      <c r="M8" s="62">
        <v>8</v>
      </c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</row>
    <row r="9" spans="1:148" ht="27.75" customHeight="1" x14ac:dyDescent="0.25">
      <c r="A9" s="8">
        <v>10</v>
      </c>
      <c r="B9" s="42" cm="1">
        <f t="array" aca="1" ref="B9" ca="1">SUM(IF(B$1=INDIRECT("Entities!$AL$7:$AN$"&amp;(7+Entities!$B$3-1)),IF($A9=INDIRECT("Entities!$AP$7:$AR$"&amp;(7+Entities!$B$3-1)),1,0),0))+Board!B12</f>
        <v>0</v>
      </c>
      <c r="C9" s="43" cm="1">
        <f t="array" aca="1" ref="C9" ca="1">SUM(IF(C$1=INDIRECT("Entities!$AL$7:$AN$"&amp;(7+Entities!$B$3-1)),IF($A9=INDIRECT("Entities!$AP$7:$AR$"&amp;(7+Entities!$B$3-1)),1,0),0))+Board!C12</f>
        <v>0</v>
      </c>
      <c r="D9" s="43" cm="1">
        <f t="array" aca="1" ref="D9" ca="1">SUM(IF(D$1=INDIRECT("Entities!$AL$7:$AN$"&amp;(7+Entities!$B$3-1)),IF($A9=INDIRECT("Entities!$AP$7:$AR$"&amp;(7+Entities!$B$3-1)),1,0),0))+Board!D12</f>
        <v>0</v>
      </c>
      <c r="E9" s="43" cm="1">
        <f t="array" aca="1" ref="E9" ca="1">SUM(IF(E$1=INDIRECT("Entities!$AL$7:$AN$"&amp;(7+Entities!$B$3-1)),IF($A9=INDIRECT("Entities!$AP$7:$AR$"&amp;(7+Entities!$B$3-1)),1,0),0))+Board!E12</f>
        <v>0</v>
      </c>
      <c r="F9" s="43" cm="1">
        <f t="array" aca="1" ref="F9" ca="1">SUM(IF(F$1=INDIRECT("Entities!$AL$7:$AN$"&amp;(7+Entities!$B$3-1)),IF($A9=INDIRECT("Entities!$AP$7:$AR$"&amp;(7+Entities!$B$3-1)),1,0),0))+Board!F12</f>
        <v>1</v>
      </c>
      <c r="G9" s="43" cm="1">
        <f t="array" aca="1" ref="G9" ca="1">SUM(IF(G$1=INDIRECT("Entities!$AL$7:$AN$"&amp;(7+Entities!$B$3-1)),IF($A9=INDIRECT("Entities!$AP$7:$AR$"&amp;(7+Entities!$B$3-1)),1,0),0))+Board!G12</f>
        <v>1</v>
      </c>
      <c r="H9" s="43" cm="1">
        <f t="array" aca="1" ref="H9" ca="1">SUM(IF(H$1=INDIRECT("Entities!$AL$7:$AN$"&amp;(7+Entities!$B$3-1)),IF($A9=INDIRECT("Entities!$AP$7:$AR$"&amp;(7+Entities!$B$3-1)),1,0),0))+Board!H12</f>
        <v>0</v>
      </c>
      <c r="I9" s="43" cm="1">
        <f t="array" aca="1" ref="I9" ca="1">SUM(IF(I$1=INDIRECT("Entities!$AL$7:$AN$"&amp;(7+Entities!$B$3-1)),IF($A9=INDIRECT("Entities!$AP$7:$AR$"&amp;(7+Entities!$B$3-1)),1,0),0))+Board!I12</f>
        <v>0</v>
      </c>
      <c r="J9" s="43" cm="1">
        <f t="array" aca="1" ref="J9" ca="1">SUM(IF(J$1=INDIRECT("Entities!$AL$7:$AN$"&amp;(7+Entities!$B$3-1)),IF($A9=INDIRECT("Entities!$AP$7:$AR$"&amp;(7+Entities!$B$3-1)),1,0),0))+Board!J12</f>
        <v>0</v>
      </c>
      <c r="K9" s="44" cm="1">
        <f t="array" aca="1" ref="K9" ca="1">SUM(IF(K$1=INDIRECT("Entities!$AL$7:$AN$"&amp;(7+Entities!$B$3-1)),IF($A9=INDIRECT("Entities!$AP$7:$AR$"&amp;(7+Entities!$B$3-1)),1,0),0))+Board!K12</f>
        <v>0</v>
      </c>
      <c r="L9" s="10"/>
      <c r="M9" s="62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</row>
    <row r="10" spans="1:148" ht="27.75" customHeight="1" x14ac:dyDescent="0.25">
      <c r="A10" s="8">
        <v>9</v>
      </c>
      <c r="B10" s="42" cm="1">
        <f t="array" aca="1" ref="B10" ca="1">SUM(IF(B$1=INDIRECT("Entities!$AL$7:$AN$"&amp;(7+Entities!$B$3-1)),IF($A10=INDIRECT("Entities!$AP$7:$AR$"&amp;(7+Entities!$B$3-1)),1,0),0))+Board!B13</f>
        <v>0</v>
      </c>
      <c r="C10" s="43" cm="1">
        <f t="array" aca="1" ref="C10" ca="1">SUM(IF(C$1=INDIRECT("Entities!$AL$7:$AN$"&amp;(7+Entities!$B$3-1)),IF($A10=INDIRECT("Entities!$AP$7:$AR$"&amp;(7+Entities!$B$3-1)),1,0),0))+Board!C13</f>
        <v>0</v>
      </c>
      <c r="D10" s="43" cm="1">
        <f t="array" aca="1" ref="D10" ca="1">SUM(IF(D$1=INDIRECT("Entities!$AL$7:$AN$"&amp;(7+Entities!$B$3-1)),IF($A10=INDIRECT("Entities!$AP$7:$AR$"&amp;(7+Entities!$B$3-1)),1,0),0))+Board!D13</f>
        <v>0</v>
      </c>
      <c r="E10" s="43" cm="1">
        <f t="array" aca="1" ref="E10" ca="1">SUM(IF(E$1=INDIRECT("Entities!$AL$7:$AN$"&amp;(7+Entities!$B$3-1)),IF($A10=INDIRECT("Entities!$AP$7:$AR$"&amp;(7+Entities!$B$3-1)),1,0),0))+Board!E13</f>
        <v>0</v>
      </c>
      <c r="F10" s="43" cm="1">
        <f t="array" aca="1" ref="F10" ca="1">SUM(IF(F$1=INDIRECT("Entities!$AL$7:$AN$"&amp;(7+Entities!$B$3-1)),IF($A10=INDIRECT("Entities!$AP$7:$AR$"&amp;(7+Entities!$B$3-1)),1,0),0))+Board!F13</f>
        <v>0</v>
      </c>
      <c r="G10" s="43" cm="1">
        <f t="array" aca="1" ref="G10" ca="1">SUM(IF(G$1=INDIRECT("Entities!$AL$7:$AN$"&amp;(7+Entities!$B$3-1)),IF($A10=INDIRECT("Entities!$AP$7:$AR$"&amp;(7+Entities!$B$3-1)),1,0),0))+Board!G13</f>
        <v>1</v>
      </c>
      <c r="H10" s="43" cm="1">
        <f t="array" aca="1" ref="H10" ca="1">SUM(IF(H$1=INDIRECT("Entities!$AL$7:$AN$"&amp;(7+Entities!$B$3-1)),IF($A10=INDIRECT("Entities!$AP$7:$AR$"&amp;(7+Entities!$B$3-1)),1,0),0))+Board!H13</f>
        <v>0</v>
      </c>
      <c r="I10" s="43" cm="1">
        <f t="array" aca="1" ref="I10" ca="1">SUM(IF(I$1=INDIRECT("Entities!$AL$7:$AN$"&amp;(7+Entities!$B$3-1)),IF($A10=INDIRECT("Entities!$AP$7:$AR$"&amp;(7+Entities!$B$3-1)),1,0),0))+Board!I13</f>
        <v>0</v>
      </c>
      <c r="J10" s="43" cm="1">
        <f t="array" aca="1" ref="J10" ca="1">SUM(IF(J$1=INDIRECT("Entities!$AL$7:$AN$"&amp;(7+Entities!$B$3-1)),IF($A10=INDIRECT("Entities!$AP$7:$AR$"&amp;(7+Entities!$B$3-1)),1,0),0))+Board!J13</f>
        <v>0</v>
      </c>
      <c r="K10" s="44" cm="1">
        <f t="array" aca="1" ref="K10" ca="1">SUM(IF(K$1=INDIRECT("Entities!$AL$7:$AN$"&amp;(7+Entities!$B$3-1)),IF($A10=INDIRECT("Entities!$AP$7:$AR$"&amp;(7+Entities!$B$3-1)),1,0),0))+Board!K13</f>
        <v>0</v>
      </c>
      <c r="L10" s="10"/>
      <c r="M10" s="62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</row>
    <row r="11" spans="1:148" ht="27.75" customHeight="1" x14ac:dyDescent="0.25">
      <c r="A11" s="8">
        <v>8</v>
      </c>
      <c r="B11" s="42" cm="1">
        <f t="array" aca="1" ref="B11" ca="1">SUM(IF(B$1=INDIRECT("Entities!$AL$7:$AN$"&amp;(7+Entities!$B$3-1)),IF($A11=INDIRECT("Entities!$AP$7:$AR$"&amp;(7+Entities!$B$3-1)),1,0),0))+Board!B14</f>
        <v>0</v>
      </c>
      <c r="C11" s="43" cm="1">
        <f t="array" aca="1" ref="C11" ca="1">SUM(IF(C$1=INDIRECT("Entities!$AL$7:$AN$"&amp;(7+Entities!$B$3-1)),IF($A11=INDIRECT("Entities!$AP$7:$AR$"&amp;(7+Entities!$B$3-1)),1,0),0))+Board!C14</f>
        <v>0</v>
      </c>
      <c r="D11" s="43" cm="1">
        <f t="array" aca="1" ref="D11" ca="1">SUM(IF(D$1=INDIRECT("Entities!$AL$7:$AN$"&amp;(7+Entities!$B$3-1)),IF($A11=INDIRECT("Entities!$AP$7:$AR$"&amp;(7+Entities!$B$3-1)),1,0),0))+Board!D14</f>
        <v>0</v>
      </c>
      <c r="E11" s="43" cm="1">
        <f t="array" aca="1" ref="E11" ca="1">SUM(IF(E$1=INDIRECT("Entities!$AL$7:$AN$"&amp;(7+Entities!$B$3-1)),IF($A11=INDIRECT("Entities!$AP$7:$AR$"&amp;(7+Entities!$B$3-1)),1,0),0))+Board!E14</f>
        <v>0</v>
      </c>
      <c r="F11" s="43" cm="1">
        <f t="array" aca="1" ref="F11" ca="1">SUM(IF(F$1=INDIRECT("Entities!$AL$7:$AN$"&amp;(7+Entities!$B$3-1)),IF($A11=INDIRECT("Entities!$AP$7:$AR$"&amp;(7+Entities!$B$3-1)),1,0),0))+Board!F14</f>
        <v>1</v>
      </c>
      <c r="G11" s="43" cm="1">
        <f t="array" aca="1" ref="G11" ca="1">SUM(IF(G$1=INDIRECT("Entities!$AL$7:$AN$"&amp;(7+Entities!$B$3-1)),IF($A11=INDIRECT("Entities!$AP$7:$AR$"&amp;(7+Entities!$B$3-1)),1,0),0))+Board!G14</f>
        <v>1</v>
      </c>
      <c r="H11" s="43" cm="1">
        <f t="array" aca="1" ref="H11" ca="1">SUM(IF(H$1=INDIRECT("Entities!$AL$7:$AN$"&amp;(7+Entities!$B$3-1)),IF($A11=INDIRECT("Entities!$AP$7:$AR$"&amp;(7+Entities!$B$3-1)),1,0),0))+Board!H14</f>
        <v>0</v>
      </c>
      <c r="I11" s="43" cm="1">
        <f t="array" aca="1" ref="I11" ca="1">SUM(IF(I$1=INDIRECT("Entities!$AL$7:$AN$"&amp;(7+Entities!$B$3-1)),IF($A11=INDIRECT("Entities!$AP$7:$AR$"&amp;(7+Entities!$B$3-1)),1,0),0))+Board!I14</f>
        <v>0</v>
      </c>
      <c r="J11" s="43" cm="1">
        <f t="array" aca="1" ref="J11" ca="1">SUM(IF(J$1=INDIRECT("Entities!$AL$7:$AN$"&amp;(7+Entities!$B$3-1)),IF($A11=INDIRECT("Entities!$AP$7:$AR$"&amp;(7+Entities!$B$3-1)),1,0),0))+Board!J14</f>
        <v>0</v>
      </c>
      <c r="K11" s="44" cm="1">
        <f t="array" aca="1" ref="K11" ca="1">SUM(IF(K$1=INDIRECT("Entities!$AL$7:$AN$"&amp;(7+Entities!$B$3-1)),IF($A11=INDIRECT("Entities!$AP$7:$AR$"&amp;(7+Entities!$B$3-1)),1,0),0))+Board!K14</f>
        <v>0</v>
      </c>
      <c r="L11" s="10"/>
      <c r="M11" s="8">
        <f>SUM(Board!Y5:Y22)*10</f>
        <v>0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</row>
    <row r="12" spans="1:148" ht="27.75" customHeight="1" x14ac:dyDescent="0.25">
      <c r="A12" s="8">
        <v>7</v>
      </c>
      <c r="B12" s="42" cm="1">
        <f t="array" aca="1" ref="B12" ca="1">SUM(IF(B$1=INDIRECT("Entities!$AL$7:$AN$"&amp;(7+Entities!$B$3-1)),IF($A12=INDIRECT("Entities!$AP$7:$AR$"&amp;(7+Entities!$B$3-1)),1,0),0))+Board!B15</f>
        <v>0</v>
      </c>
      <c r="C12" s="43" cm="1">
        <f t="array" aca="1" ref="C12" ca="1">SUM(IF(C$1=INDIRECT("Entities!$AL$7:$AN$"&amp;(7+Entities!$B$3-1)),IF($A12=INDIRECT("Entities!$AP$7:$AR$"&amp;(7+Entities!$B$3-1)),1,0),0))+Board!C15</f>
        <v>0</v>
      </c>
      <c r="D12" s="43" cm="1">
        <f t="array" aca="1" ref="D12" ca="1">SUM(IF(D$1=INDIRECT("Entities!$AL$7:$AN$"&amp;(7+Entities!$B$3-1)),IF($A12=INDIRECT("Entities!$AP$7:$AR$"&amp;(7+Entities!$B$3-1)),1,0),0))+Board!D15</f>
        <v>0</v>
      </c>
      <c r="E12" s="43" cm="1">
        <f t="array" aca="1" ref="E12" ca="1">SUM(IF(E$1=INDIRECT("Entities!$AL$7:$AN$"&amp;(7+Entities!$B$3-1)),IF($A12=INDIRECT("Entities!$AP$7:$AR$"&amp;(7+Entities!$B$3-1)),1,0),0))+Board!E15</f>
        <v>0</v>
      </c>
      <c r="F12" s="43" cm="1">
        <f t="array" aca="1" ref="F12" ca="1">SUM(IF(F$1=INDIRECT("Entities!$AL$7:$AN$"&amp;(7+Entities!$B$3-1)),IF($A12=INDIRECT("Entities!$AP$7:$AR$"&amp;(7+Entities!$B$3-1)),1,0),0))+Board!F15</f>
        <v>0</v>
      </c>
      <c r="G12" s="43" cm="1">
        <f t="array" aca="1" ref="G12" ca="1">SUM(IF(G$1=INDIRECT("Entities!$AL$7:$AN$"&amp;(7+Entities!$B$3-1)),IF($A12=INDIRECT("Entities!$AP$7:$AR$"&amp;(7+Entities!$B$3-1)),1,0),0))+Board!G15</f>
        <v>1</v>
      </c>
      <c r="H12" s="43" cm="1">
        <f t="array" aca="1" ref="H12" ca="1">SUM(IF(H$1=INDIRECT("Entities!$AL$7:$AN$"&amp;(7+Entities!$B$3-1)),IF($A12=INDIRECT("Entities!$AP$7:$AR$"&amp;(7+Entities!$B$3-1)),1,0),0))+Board!H15</f>
        <v>0</v>
      </c>
      <c r="I12" s="43" cm="1">
        <f t="array" aca="1" ref="I12" ca="1">SUM(IF(I$1=INDIRECT("Entities!$AL$7:$AN$"&amp;(7+Entities!$B$3-1)),IF($A12=INDIRECT("Entities!$AP$7:$AR$"&amp;(7+Entities!$B$3-1)),1,0),0))+Board!I15</f>
        <v>0</v>
      </c>
      <c r="J12" s="43" cm="1">
        <f t="array" aca="1" ref="J12" ca="1">SUM(IF(J$1=INDIRECT("Entities!$AL$7:$AN$"&amp;(7+Entities!$B$3-1)),IF($A12=INDIRECT("Entities!$AP$7:$AR$"&amp;(7+Entities!$B$3-1)),1,0),0))+Board!J15</f>
        <v>0</v>
      </c>
      <c r="K12" s="44" cm="1">
        <f t="array" aca="1" ref="K12" ca="1">SUM(IF(K$1=INDIRECT("Entities!$AL$7:$AN$"&amp;(7+Entities!$B$3-1)),IF($A12=INDIRECT("Entities!$AP$7:$AR$"&amp;(7+Entities!$B$3-1)),1,0),0))+Board!K15</f>
        <v>0</v>
      </c>
      <c r="L12" s="10"/>
      <c r="M12" s="63">
        <f>MAX(Entities!AS3,M8)</f>
        <v>21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</row>
    <row r="13" spans="1:148" ht="27.75" customHeight="1" x14ac:dyDescent="0.25">
      <c r="A13" s="8">
        <v>6</v>
      </c>
      <c r="B13" s="42" cm="1">
        <f t="array" aca="1" ref="B13" ca="1">SUM(IF(B$1=INDIRECT("Entities!$AL$7:$AN$"&amp;(7+Entities!$B$3-1)),IF($A13=INDIRECT("Entities!$AP$7:$AR$"&amp;(7+Entities!$B$3-1)),1,0),0))+Board!B16</f>
        <v>0</v>
      </c>
      <c r="C13" s="43" cm="1">
        <f t="array" aca="1" ref="C13" ca="1">SUM(IF(C$1=INDIRECT("Entities!$AL$7:$AN$"&amp;(7+Entities!$B$3-1)),IF($A13=INDIRECT("Entities!$AP$7:$AR$"&amp;(7+Entities!$B$3-1)),1,0),0))+Board!C16</f>
        <v>0</v>
      </c>
      <c r="D13" s="43" cm="1">
        <f t="array" aca="1" ref="D13" ca="1">SUM(IF(D$1=INDIRECT("Entities!$AL$7:$AN$"&amp;(7+Entities!$B$3-1)),IF($A13=INDIRECT("Entities!$AP$7:$AR$"&amp;(7+Entities!$B$3-1)),1,0),0))+Board!D16</f>
        <v>0</v>
      </c>
      <c r="E13" s="43" cm="1">
        <f t="array" aca="1" ref="E13" ca="1">SUM(IF(E$1=INDIRECT("Entities!$AL$7:$AN$"&amp;(7+Entities!$B$3-1)),IF($A13=INDIRECT("Entities!$AP$7:$AR$"&amp;(7+Entities!$B$3-1)),1,0),0))+Board!E16</f>
        <v>0</v>
      </c>
      <c r="F13" s="43" cm="1">
        <f t="array" aca="1" ref="F13" ca="1">SUM(IF(F$1=INDIRECT("Entities!$AL$7:$AN$"&amp;(7+Entities!$B$3-1)),IF($A13=INDIRECT("Entities!$AP$7:$AR$"&amp;(7+Entities!$B$3-1)),1,0),0))+Board!F16</f>
        <v>0</v>
      </c>
      <c r="G13" s="43" cm="1">
        <f t="array" aca="1" ref="G13" ca="1">SUM(IF(G$1=INDIRECT("Entities!$AL$7:$AN$"&amp;(7+Entities!$B$3-1)),IF($A13=INDIRECT("Entities!$AP$7:$AR$"&amp;(7+Entities!$B$3-1)),1,0),0))+Board!G16</f>
        <v>0</v>
      </c>
      <c r="H13" s="43" cm="1">
        <f t="array" aca="1" ref="H13" ca="1">SUM(IF(H$1=INDIRECT("Entities!$AL$7:$AN$"&amp;(7+Entities!$B$3-1)),IF($A13=INDIRECT("Entities!$AP$7:$AR$"&amp;(7+Entities!$B$3-1)),1,0),0))+Board!H16</f>
        <v>1</v>
      </c>
      <c r="I13" s="43" cm="1">
        <f t="array" aca="1" ref="I13" ca="1">SUM(IF(I$1=INDIRECT("Entities!$AL$7:$AN$"&amp;(7+Entities!$B$3-1)),IF($A13=INDIRECT("Entities!$AP$7:$AR$"&amp;(7+Entities!$B$3-1)),1,0),0))+Board!I16</f>
        <v>0</v>
      </c>
      <c r="J13" s="43" cm="1">
        <f t="array" aca="1" ref="J13" ca="1">SUM(IF(J$1=INDIRECT("Entities!$AL$7:$AN$"&amp;(7+Entities!$B$3-1)),IF($A13=INDIRECT("Entities!$AP$7:$AR$"&amp;(7+Entities!$B$3-1)),1,0),0))+Board!J16</f>
        <v>0</v>
      </c>
      <c r="K13" s="44" cm="1">
        <f t="array" aca="1" ref="K13" ca="1">SUM(IF(K$1=INDIRECT("Entities!$AL$7:$AN$"&amp;(7+Entities!$B$3-1)),IF($A13=INDIRECT("Entities!$AP$7:$AR$"&amp;(7+Entities!$B$3-1)),1,0),0))+Board!K16</f>
        <v>0</v>
      </c>
      <c r="L13" s="10"/>
      <c r="M13" s="63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</row>
    <row r="14" spans="1:148" ht="27.75" customHeight="1" x14ac:dyDescent="0.25">
      <c r="A14" s="8">
        <v>5</v>
      </c>
      <c r="B14" s="42" cm="1">
        <f t="array" aca="1" ref="B14" ca="1">SUM(IF(B$1=INDIRECT("Entities!$AL$7:$AN$"&amp;(7+Entities!$B$3-1)),IF($A14=INDIRECT("Entities!$AP$7:$AR$"&amp;(7+Entities!$B$3-1)),1,0),0))+Board!B17</f>
        <v>0</v>
      </c>
      <c r="C14" s="43" cm="1">
        <f t="array" aca="1" ref="C14" ca="1">SUM(IF(C$1=INDIRECT("Entities!$AL$7:$AN$"&amp;(7+Entities!$B$3-1)),IF($A14=INDIRECT("Entities!$AP$7:$AR$"&amp;(7+Entities!$B$3-1)),1,0),0))+Board!C17</f>
        <v>0</v>
      </c>
      <c r="D14" s="43" cm="1">
        <f t="array" aca="1" ref="D14" ca="1">SUM(IF(D$1=INDIRECT("Entities!$AL$7:$AN$"&amp;(7+Entities!$B$3-1)),IF($A14=INDIRECT("Entities!$AP$7:$AR$"&amp;(7+Entities!$B$3-1)),1,0),0))+Board!D17</f>
        <v>0</v>
      </c>
      <c r="E14" s="43" cm="1">
        <f t="array" aca="1" ref="E14" ca="1">SUM(IF(E$1=INDIRECT("Entities!$AL$7:$AN$"&amp;(7+Entities!$B$3-1)),IF($A14=INDIRECT("Entities!$AP$7:$AR$"&amp;(7+Entities!$B$3-1)),1,0),0))+Board!E17</f>
        <v>0</v>
      </c>
      <c r="F14" s="43" cm="1">
        <f t="array" aca="1" ref="F14" ca="1">SUM(IF(F$1=INDIRECT("Entities!$AL$7:$AN$"&amp;(7+Entities!$B$3-1)),IF($A14=INDIRECT("Entities!$AP$7:$AR$"&amp;(7+Entities!$B$3-1)),1,0),0))+Board!F17</f>
        <v>0</v>
      </c>
      <c r="G14" s="43" cm="1">
        <f t="array" aca="1" ref="G14" ca="1">SUM(IF(G$1=INDIRECT("Entities!$AL$7:$AN$"&amp;(7+Entities!$B$3-1)),IF($A14=INDIRECT("Entities!$AP$7:$AR$"&amp;(7+Entities!$B$3-1)),1,0),0))+Board!G17</f>
        <v>0</v>
      </c>
      <c r="H14" s="43" cm="1">
        <f t="array" aca="1" ref="H14" ca="1">SUM(IF(H$1=INDIRECT("Entities!$AL$7:$AN$"&amp;(7+Entities!$B$3-1)),IF($A14=INDIRECT("Entities!$AP$7:$AR$"&amp;(7+Entities!$B$3-1)),1,0),0))+Board!H17</f>
        <v>1</v>
      </c>
      <c r="I14" s="43" cm="1">
        <f t="array" aca="1" ref="I14" ca="1">SUM(IF(I$1=INDIRECT("Entities!$AL$7:$AN$"&amp;(7+Entities!$B$3-1)),IF($A14=INDIRECT("Entities!$AP$7:$AR$"&amp;(7+Entities!$B$3-1)),1,0),0))+Board!I17</f>
        <v>0</v>
      </c>
      <c r="J14" s="43" cm="1">
        <f t="array" aca="1" ref="J14" ca="1">SUM(IF(J$1=INDIRECT("Entities!$AL$7:$AN$"&amp;(7+Entities!$B$3-1)),IF($A14=INDIRECT("Entities!$AP$7:$AR$"&amp;(7+Entities!$B$3-1)),1,0),0))+Board!J17</f>
        <v>0</v>
      </c>
      <c r="K14" s="44" cm="1">
        <f t="array" aca="1" ref="K14" ca="1">SUM(IF(K$1=INDIRECT("Entities!$AL$7:$AN$"&amp;(7+Entities!$B$3-1)),IF($A14=INDIRECT("Entities!$AP$7:$AR$"&amp;(7+Entities!$B$3-1)),1,0),0))+Board!K17</f>
        <v>0</v>
      </c>
      <c r="L14" s="10"/>
      <c r="M14" s="63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</row>
    <row r="15" spans="1:148" ht="27.75" customHeight="1" x14ac:dyDescent="0.25">
      <c r="A15" s="8">
        <v>4</v>
      </c>
      <c r="B15" s="42" cm="1">
        <f t="array" aca="1" ref="B15" ca="1">SUM(IF(B$1=INDIRECT("Entities!$AL$7:$AN$"&amp;(7+Entities!$B$3-1)),IF($A15=INDIRECT("Entities!$AP$7:$AR$"&amp;(7+Entities!$B$3-1)),1,0),0))+Board!B18</f>
        <v>0</v>
      </c>
      <c r="C15" s="43" cm="1">
        <f t="array" aca="1" ref="C15" ca="1">SUM(IF(C$1=INDIRECT("Entities!$AL$7:$AN$"&amp;(7+Entities!$B$3-1)),IF($A15=INDIRECT("Entities!$AP$7:$AR$"&amp;(7+Entities!$B$3-1)),1,0),0))+Board!C18</f>
        <v>0</v>
      </c>
      <c r="D15" s="43" cm="1">
        <f t="array" aca="1" ref="D15" ca="1">SUM(IF(D$1=INDIRECT("Entities!$AL$7:$AN$"&amp;(7+Entities!$B$3-1)),IF($A15=INDIRECT("Entities!$AP$7:$AR$"&amp;(7+Entities!$B$3-1)),1,0),0))+Board!D18</f>
        <v>0</v>
      </c>
      <c r="E15" s="43" cm="1">
        <f t="array" aca="1" ref="E15" ca="1">SUM(IF(E$1=INDIRECT("Entities!$AL$7:$AN$"&amp;(7+Entities!$B$3-1)),IF($A15=INDIRECT("Entities!$AP$7:$AR$"&amp;(7+Entities!$B$3-1)),1,0),0))+Board!E18</f>
        <v>0</v>
      </c>
      <c r="F15" s="43" cm="1">
        <f t="array" aca="1" ref="F15" ca="1">SUM(IF(F$1=INDIRECT("Entities!$AL$7:$AN$"&amp;(7+Entities!$B$3-1)),IF($A15=INDIRECT("Entities!$AP$7:$AR$"&amp;(7+Entities!$B$3-1)),1,0),0))+Board!F18</f>
        <v>0</v>
      </c>
      <c r="G15" s="43" cm="1">
        <f t="array" aca="1" ref="G15" ca="1">SUM(IF(G$1=INDIRECT("Entities!$AL$7:$AN$"&amp;(7+Entities!$B$3-1)),IF($A15=INDIRECT("Entities!$AP$7:$AR$"&amp;(7+Entities!$B$3-1)),1,0),0))+Board!G18</f>
        <v>1</v>
      </c>
      <c r="H15" s="43" cm="1">
        <f t="array" aca="1" ref="H15" ca="1">SUM(IF(H$1=INDIRECT("Entities!$AL$7:$AN$"&amp;(7+Entities!$B$3-1)),IF($A15=INDIRECT("Entities!$AP$7:$AR$"&amp;(7+Entities!$B$3-1)),1,0),0))+Board!H18</f>
        <v>0</v>
      </c>
      <c r="I15" s="43" cm="1">
        <f t="array" aca="1" ref="I15" ca="1">SUM(IF(I$1=INDIRECT("Entities!$AL$7:$AN$"&amp;(7+Entities!$B$3-1)),IF($A15=INDIRECT("Entities!$AP$7:$AR$"&amp;(7+Entities!$B$3-1)),1,0),0))+Board!I18</f>
        <v>0</v>
      </c>
      <c r="J15" s="43" cm="1">
        <f t="array" aca="1" ref="J15" ca="1">SUM(IF(J$1=INDIRECT("Entities!$AL$7:$AN$"&amp;(7+Entities!$B$3-1)),IF($A15=INDIRECT("Entities!$AP$7:$AR$"&amp;(7+Entities!$B$3-1)),1,0),0))+Board!J18</f>
        <v>0</v>
      </c>
      <c r="K15" s="44" cm="1">
        <f t="array" aca="1" ref="K15" ca="1">SUM(IF(K$1=INDIRECT("Entities!$AL$7:$AN$"&amp;(7+Entities!$B$3-1)),IF($A15=INDIRECT("Entities!$AP$7:$AR$"&amp;(7+Entities!$B$3-1)),1,0),0))+Board!K18</f>
        <v>0</v>
      </c>
      <c r="L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</row>
    <row r="16" spans="1:148" ht="27.75" customHeight="1" x14ac:dyDescent="0.25">
      <c r="A16" s="8">
        <v>3</v>
      </c>
      <c r="B16" s="42" cm="1">
        <f t="array" aca="1" ref="B16" ca="1">SUM(IF(B$1=INDIRECT("Entities!$AL$7:$AN$"&amp;(7+Entities!$B$3-1)),IF($A16=INDIRECT("Entities!$AP$7:$AR$"&amp;(7+Entities!$B$3-1)),1,0),0))+Board!B19</f>
        <v>0</v>
      </c>
      <c r="C16" s="43" cm="1">
        <f t="array" aca="1" ref="C16" ca="1">SUM(IF(C$1=INDIRECT("Entities!$AL$7:$AN$"&amp;(7+Entities!$B$3-1)),IF($A16=INDIRECT("Entities!$AP$7:$AR$"&amp;(7+Entities!$B$3-1)),1,0),0))+Board!C19</f>
        <v>0</v>
      </c>
      <c r="D16" s="43" cm="1">
        <f t="array" aca="1" ref="D16" ca="1">SUM(IF(D$1=INDIRECT("Entities!$AL$7:$AN$"&amp;(7+Entities!$B$3-1)),IF($A16=INDIRECT("Entities!$AP$7:$AR$"&amp;(7+Entities!$B$3-1)),1,0),0))+Board!D19</f>
        <v>0</v>
      </c>
      <c r="E16" s="43" cm="1">
        <f t="array" aca="1" ref="E16" ca="1">SUM(IF(E$1=INDIRECT("Entities!$AL$7:$AN$"&amp;(7+Entities!$B$3-1)),IF($A16=INDIRECT("Entities!$AP$7:$AR$"&amp;(7+Entities!$B$3-1)),1,0),0))+Board!E19</f>
        <v>0</v>
      </c>
      <c r="F16" s="43" cm="1">
        <f t="array" aca="1" ref="F16" ca="1">SUM(IF(F$1=INDIRECT("Entities!$AL$7:$AN$"&amp;(7+Entities!$B$3-1)),IF($A16=INDIRECT("Entities!$AP$7:$AR$"&amp;(7+Entities!$B$3-1)),1,0),0))+Board!F19</f>
        <v>0</v>
      </c>
      <c r="G16" s="43" cm="1">
        <f t="array" aca="1" ref="G16" ca="1">SUM(IF(G$1=INDIRECT("Entities!$AL$7:$AN$"&amp;(7+Entities!$B$3-1)),IF($A16=INDIRECT("Entities!$AP$7:$AR$"&amp;(7+Entities!$B$3-1)),1,0),0))+Board!G19</f>
        <v>1</v>
      </c>
      <c r="H16" s="43" cm="1">
        <f t="array" aca="1" ref="H16" ca="1">SUM(IF(H$1=INDIRECT("Entities!$AL$7:$AN$"&amp;(7+Entities!$B$3-1)),IF($A16=INDIRECT("Entities!$AP$7:$AR$"&amp;(7+Entities!$B$3-1)),1,0),0))+Board!H19</f>
        <v>1</v>
      </c>
      <c r="I16" s="43" cm="1">
        <f t="array" aca="1" ref="I16" ca="1">SUM(IF(I$1=INDIRECT("Entities!$AL$7:$AN$"&amp;(7+Entities!$B$3-1)),IF($A16=INDIRECT("Entities!$AP$7:$AR$"&amp;(7+Entities!$B$3-1)),1,0),0))+Board!I19</f>
        <v>0</v>
      </c>
      <c r="J16" s="43" cm="1">
        <f t="array" aca="1" ref="J16" ca="1">SUM(IF(J$1=INDIRECT("Entities!$AL$7:$AN$"&amp;(7+Entities!$B$3-1)),IF($A16=INDIRECT("Entities!$AP$7:$AR$"&amp;(7+Entities!$B$3-1)),1,0),0))+Board!J19</f>
        <v>0</v>
      </c>
      <c r="K16" s="44" cm="1">
        <f t="array" aca="1" ref="K16" ca="1">SUM(IF(K$1=INDIRECT("Entities!$AL$7:$AN$"&amp;(7+Entities!$B$3-1)),IF($A16=INDIRECT("Entities!$AP$7:$AR$"&amp;(7+Entities!$B$3-1)),1,0),0))+Board!K19</f>
        <v>0</v>
      </c>
      <c r="L16" s="10"/>
      <c r="M16" s="61" t="str">
        <f>IF(A1=0,"GAME OVER","")</f>
        <v>GAME OVER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</row>
    <row r="17" spans="1:148" ht="27.75" customHeight="1" x14ac:dyDescent="0.25">
      <c r="A17" s="8">
        <v>2</v>
      </c>
      <c r="B17" s="42" cm="1">
        <f t="array" aca="1" ref="B17" ca="1">SUM(IF(B$1=INDIRECT("Entities!$AL$7:$AN$"&amp;(7+Entities!$B$3-1)),IF($A17=INDIRECT("Entities!$AP$7:$AR$"&amp;(7+Entities!$B$3-1)),1,0),0))+Board!B20</f>
        <v>0</v>
      </c>
      <c r="C17" s="43" cm="1">
        <f t="array" aca="1" ref="C17" ca="1">SUM(IF(C$1=INDIRECT("Entities!$AL$7:$AN$"&amp;(7+Entities!$B$3-1)),IF($A17=INDIRECT("Entities!$AP$7:$AR$"&amp;(7+Entities!$B$3-1)),1,0),0))+Board!C20</f>
        <v>0</v>
      </c>
      <c r="D17" s="43" cm="1">
        <f t="array" aca="1" ref="D17" ca="1">SUM(IF(D$1=INDIRECT("Entities!$AL$7:$AN$"&amp;(7+Entities!$B$3-1)),IF($A17=INDIRECT("Entities!$AP$7:$AR$"&amp;(7+Entities!$B$3-1)),1,0),0))+Board!D20</f>
        <v>0</v>
      </c>
      <c r="E17" s="43" cm="1">
        <f t="array" aca="1" ref="E17" ca="1">SUM(IF(E$1=INDIRECT("Entities!$AL$7:$AN$"&amp;(7+Entities!$B$3-1)),IF($A17=INDIRECT("Entities!$AP$7:$AR$"&amp;(7+Entities!$B$3-1)),1,0),0))+Board!E20</f>
        <v>0</v>
      </c>
      <c r="F17" s="43" cm="1">
        <f t="array" aca="1" ref="F17" ca="1">SUM(IF(F$1=INDIRECT("Entities!$AL$7:$AN$"&amp;(7+Entities!$B$3-1)),IF($A17=INDIRECT("Entities!$AP$7:$AR$"&amp;(7+Entities!$B$3-1)),1,0),0))+Board!F20</f>
        <v>1</v>
      </c>
      <c r="G17" s="43" cm="1">
        <f t="array" aca="1" ref="G17" ca="1">SUM(IF(G$1=INDIRECT("Entities!$AL$7:$AN$"&amp;(7+Entities!$B$3-1)),IF($A17=INDIRECT("Entities!$AP$7:$AR$"&amp;(7+Entities!$B$3-1)),1,0),0))+Board!G20</f>
        <v>1</v>
      </c>
      <c r="H17" s="43" cm="1">
        <f t="array" aca="1" ref="H17" ca="1">SUM(IF(H$1=INDIRECT("Entities!$AL$7:$AN$"&amp;(7+Entities!$B$3-1)),IF($A17=INDIRECT("Entities!$AP$7:$AR$"&amp;(7+Entities!$B$3-1)),1,0),0))+Board!H20</f>
        <v>0</v>
      </c>
      <c r="I17" s="43" cm="1">
        <f t="array" aca="1" ref="I17" ca="1">SUM(IF(I$1=INDIRECT("Entities!$AL$7:$AN$"&amp;(7+Entities!$B$3-1)),IF($A17=INDIRECT("Entities!$AP$7:$AR$"&amp;(7+Entities!$B$3-1)),1,0),0))+Board!I20</f>
        <v>0</v>
      </c>
      <c r="J17" s="43" cm="1">
        <f t="array" aca="1" ref="J17" ca="1">SUM(IF(J$1=INDIRECT("Entities!$AL$7:$AN$"&amp;(7+Entities!$B$3-1)),IF($A17=INDIRECT("Entities!$AP$7:$AR$"&amp;(7+Entities!$B$3-1)),1,0),0))+Board!J20</f>
        <v>0</v>
      </c>
      <c r="K17" s="44" cm="1">
        <f t="array" aca="1" ref="K17" ca="1">SUM(IF(K$1=INDIRECT("Entities!$AL$7:$AN$"&amp;(7+Entities!$B$3-1)),IF($A17=INDIRECT("Entities!$AP$7:$AR$"&amp;(7+Entities!$B$3-1)),1,0),0))+Board!K20</f>
        <v>0</v>
      </c>
      <c r="L17" s="10"/>
      <c r="M17" s="61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</row>
    <row r="18" spans="1:148" ht="27.75" customHeight="1" x14ac:dyDescent="0.25">
      <c r="A18" s="8">
        <v>1</v>
      </c>
      <c r="B18" s="42" cm="1">
        <f t="array" aca="1" ref="B18" ca="1">SUM(IF(B$1=INDIRECT("Entities!$AL$7:$AN$"&amp;(7+Entities!$B$3-1)),IF($A18=INDIRECT("Entities!$AP$7:$AR$"&amp;(7+Entities!$B$3-1)),1,0),0))+Board!B21</f>
        <v>0</v>
      </c>
      <c r="C18" s="43" cm="1">
        <f t="array" aca="1" ref="C18" ca="1">SUM(IF(C$1=INDIRECT("Entities!$AL$7:$AN$"&amp;(7+Entities!$B$3-1)),IF($A18=INDIRECT("Entities!$AP$7:$AR$"&amp;(7+Entities!$B$3-1)),1,0),0))+Board!C21</f>
        <v>0</v>
      </c>
      <c r="D18" s="43" cm="1">
        <f t="array" aca="1" ref="D18" ca="1">SUM(IF(D$1=INDIRECT("Entities!$AL$7:$AN$"&amp;(7+Entities!$B$3-1)),IF($A18=INDIRECT("Entities!$AP$7:$AR$"&amp;(7+Entities!$B$3-1)),1,0),0))+Board!D21</f>
        <v>0</v>
      </c>
      <c r="E18" s="43" cm="1">
        <f t="array" aca="1" ref="E18" ca="1">SUM(IF(E$1=INDIRECT("Entities!$AL$7:$AN$"&amp;(7+Entities!$B$3-1)),IF($A18=INDIRECT("Entities!$AP$7:$AR$"&amp;(7+Entities!$B$3-1)),1,0),0))+Board!E21</f>
        <v>0</v>
      </c>
      <c r="F18" s="43" cm="1">
        <f t="array" aca="1" ref="F18" ca="1">SUM(IF(F$1=INDIRECT("Entities!$AL$7:$AN$"&amp;(7+Entities!$B$3-1)),IF($A18=INDIRECT("Entities!$AP$7:$AR$"&amp;(7+Entities!$B$3-1)),1,0),0))+Board!F21</f>
        <v>0</v>
      </c>
      <c r="G18" s="43" cm="1">
        <f t="array" aca="1" ref="G18" ca="1">SUM(IF(G$1=INDIRECT("Entities!$AL$7:$AN$"&amp;(7+Entities!$B$3-1)),IF($A18=INDIRECT("Entities!$AP$7:$AR$"&amp;(7+Entities!$B$3-1)),1,0),0))+Board!G21</f>
        <v>1</v>
      </c>
      <c r="H18" s="43" cm="1">
        <f t="array" aca="1" ref="H18" ca="1">SUM(IF(H$1=INDIRECT("Entities!$AL$7:$AN$"&amp;(7+Entities!$B$3-1)),IF($A18=INDIRECT("Entities!$AP$7:$AR$"&amp;(7+Entities!$B$3-1)),1,0),0))+Board!H21</f>
        <v>1</v>
      </c>
      <c r="I18" s="43" cm="1">
        <f t="array" aca="1" ref="I18" ca="1">SUM(IF(I$1=INDIRECT("Entities!$AL$7:$AN$"&amp;(7+Entities!$B$3-1)),IF($A18=INDIRECT("Entities!$AP$7:$AR$"&amp;(7+Entities!$B$3-1)),1,0),0))+Board!I21</f>
        <v>0</v>
      </c>
      <c r="J18" s="43" cm="1">
        <f t="array" aca="1" ref="J18" ca="1">SUM(IF(J$1=INDIRECT("Entities!$AL$7:$AN$"&amp;(7+Entities!$B$3-1)),IF($A18=INDIRECT("Entities!$AP$7:$AR$"&amp;(7+Entities!$B$3-1)),1,0),0))+Board!J21</f>
        <v>0</v>
      </c>
      <c r="K18" s="44" cm="1">
        <f t="array" aca="1" ref="K18" ca="1">SUM(IF(K$1=INDIRECT("Entities!$AL$7:$AN$"&amp;(7+Entities!$B$3-1)),IF($A18=INDIRECT("Entities!$AP$7:$AR$"&amp;(7+Entities!$B$3-1)),1,0),0))+Board!K21</f>
        <v>0</v>
      </c>
      <c r="L18" s="10"/>
      <c r="M18" s="61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</row>
    <row r="19" spans="1:148" ht="27.75" customHeight="1" x14ac:dyDescent="0.25">
      <c r="A19" s="8">
        <v>0</v>
      </c>
      <c r="B19" s="45" cm="1">
        <f t="array" aca="1" ref="B19" ca="1">SUM(IF(B$1=INDIRECT("Entities!$AL$7:$AN$"&amp;(7+Entities!$B$3-1)),IF($A19=INDIRECT("Entities!$AP$7:$AR$"&amp;(7+Entities!$B$3-1)),1,0),0))+Board!B22</f>
        <v>0</v>
      </c>
      <c r="C19" s="46" cm="1">
        <f t="array" aca="1" ref="C19" ca="1">SUM(IF(C$1=INDIRECT("Entities!$AL$7:$AN$"&amp;(7+Entities!$B$3-1)),IF($A19=INDIRECT("Entities!$AP$7:$AR$"&amp;(7+Entities!$B$3-1)),1,0),0))+Board!C22</f>
        <v>0</v>
      </c>
      <c r="D19" s="46" cm="1">
        <f t="array" aca="1" ref="D19" ca="1">SUM(IF(D$1=INDIRECT("Entities!$AL$7:$AN$"&amp;(7+Entities!$B$3-1)),IF($A19=INDIRECT("Entities!$AP$7:$AR$"&amp;(7+Entities!$B$3-1)),1,0),0))+Board!D22</f>
        <v>0</v>
      </c>
      <c r="E19" s="46" cm="1">
        <f t="array" aca="1" ref="E19" ca="1">SUM(IF(E$1=INDIRECT("Entities!$AL$7:$AN$"&amp;(7+Entities!$B$3-1)),IF($A19=INDIRECT("Entities!$AP$7:$AR$"&amp;(7+Entities!$B$3-1)),1,0),0))+Board!E22</f>
        <v>0</v>
      </c>
      <c r="F19" s="46" cm="1">
        <f t="array" aca="1" ref="F19" ca="1">SUM(IF(F$1=INDIRECT("Entities!$AL$7:$AN$"&amp;(7+Entities!$B$3-1)),IF($A19=INDIRECT("Entities!$AP$7:$AR$"&amp;(7+Entities!$B$3-1)),1,0),0))+Board!F22</f>
        <v>0</v>
      </c>
      <c r="G19" s="46" cm="1">
        <f t="array" aca="1" ref="G19" ca="1">SUM(IF(G$1=INDIRECT("Entities!$AL$7:$AN$"&amp;(7+Entities!$B$3-1)),IF($A19=INDIRECT("Entities!$AP$7:$AR$"&amp;(7+Entities!$B$3-1)),1,0),0))+Board!G22</f>
        <v>1</v>
      </c>
      <c r="H19" s="46" cm="1">
        <f t="array" aca="1" ref="H19" ca="1">SUM(IF(H$1=INDIRECT("Entities!$AL$7:$AN$"&amp;(7+Entities!$B$3-1)),IF($A19=INDIRECT("Entities!$AP$7:$AR$"&amp;(7+Entities!$B$3-1)),1,0),0))+Board!H22</f>
        <v>0</v>
      </c>
      <c r="I19" s="46" cm="1">
        <f t="array" aca="1" ref="I19" ca="1">SUM(IF(I$1=INDIRECT("Entities!$AL$7:$AN$"&amp;(7+Entities!$B$3-1)),IF($A19=INDIRECT("Entities!$AP$7:$AR$"&amp;(7+Entities!$B$3-1)),1,0),0))+Board!I22</f>
        <v>0</v>
      </c>
      <c r="J19" s="46" cm="1">
        <f t="array" aca="1" ref="J19" ca="1">SUM(IF(J$1=INDIRECT("Entities!$AL$7:$AN$"&amp;(7+Entities!$B$3-1)),IF($A19=INDIRECT("Entities!$AP$7:$AR$"&amp;(7+Entities!$B$3-1)),1,0),0))+Board!J22</f>
        <v>0</v>
      </c>
      <c r="K19" s="47" cm="1">
        <f t="array" aca="1" ref="K19" ca="1">SUM(IF(K$1=INDIRECT("Entities!$AL$7:$AN$"&amp;(7+Entities!$B$3-1)),IF($A19=INDIRECT("Entities!$AP$7:$AR$"&amp;(7+Entities!$B$3-1)),1,0),0))+Board!K22</f>
        <v>0</v>
      </c>
      <c r="L19" s="10"/>
      <c r="M19" s="61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</row>
    <row r="20" spans="1:148" x14ac:dyDescent="0.25"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</row>
    <row r="21" spans="1:148" x14ac:dyDescent="0.25"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</row>
    <row r="22" spans="1:148" x14ac:dyDescent="0.25"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</row>
    <row r="23" spans="1:148" x14ac:dyDescent="0.25"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</row>
    <row r="24" spans="1:148" x14ac:dyDescent="0.2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</row>
    <row r="25" spans="1:148" x14ac:dyDescent="0.25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</row>
    <row r="26" spans="1:148" x14ac:dyDescent="0.25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</row>
    <row r="27" spans="1:148" x14ac:dyDescent="0.25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</row>
    <row r="28" spans="1:148" x14ac:dyDescent="0.25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</row>
    <row r="29" spans="1:148" x14ac:dyDescent="0.25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</row>
    <row r="30" spans="1:148" x14ac:dyDescent="0.25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</row>
    <row r="31" spans="1:148" x14ac:dyDescent="0.25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</row>
    <row r="32" spans="1:148" x14ac:dyDescent="0.25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</row>
    <row r="33" spans="2:148" x14ac:dyDescent="0.25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</row>
    <row r="34" spans="2:148" x14ac:dyDescent="0.2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</row>
    <row r="35" spans="2:148" x14ac:dyDescent="0.25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</row>
    <row r="36" spans="2:148" x14ac:dyDescent="0.2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</row>
    <row r="37" spans="2:148" x14ac:dyDescent="0.2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</row>
    <row r="38" spans="2:148" x14ac:dyDescent="0.25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</row>
    <row r="39" spans="2:148" x14ac:dyDescent="0.25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</row>
    <row r="40" spans="2:148" x14ac:dyDescent="0.25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</row>
    <row r="41" spans="2:148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</row>
    <row r="42" spans="2:148" x14ac:dyDescent="0.25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</row>
    <row r="43" spans="2:148" x14ac:dyDescent="0.25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</row>
    <row r="44" spans="2:148" x14ac:dyDescent="0.25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</row>
    <row r="45" spans="2:148" x14ac:dyDescent="0.25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</row>
    <row r="46" spans="2:148" x14ac:dyDescent="0.25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</row>
    <row r="47" spans="2:148" x14ac:dyDescent="0.25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</row>
    <row r="48" spans="2:148" x14ac:dyDescent="0.25"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</row>
    <row r="49" spans="2:148" x14ac:dyDescent="0.25"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</row>
    <row r="50" spans="2:148" x14ac:dyDescent="0.25"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</row>
    <row r="51" spans="2:148" x14ac:dyDescent="0.25"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</row>
    <row r="52" spans="2:148" x14ac:dyDescent="0.25"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</row>
    <row r="53" spans="2:148" x14ac:dyDescent="0.25"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</row>
    <row r="54" spans="2:148" x14ac:dyDescent="0.25"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</row>
    <row r="55" spans="2:148" x14ac:dyDescent="0.25"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</row>
    <row r="56" spans="2:148" x14ac:dyDescent="0.25"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</row>
    <row r="57" spans="2:148" x14ac:dyDescent="0.25"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</row>
    <row r="58" spans="2:148" x14ac:dyDescent="0.25"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</row>
    <row r="59" spans="2:148" x14ac:dyDescent="0.25"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</row>
    <row r="60" spans="2:148" x14ac:dyDescent="0.25"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</row>
    <row r="61" spans="2:148" x14ac:dyDescent="0.25"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</row>
    <row r="62" spans="2:148" x14ac:dyDescent="0.25"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</row>
    <row r="63" spans="2:148" x14ac:dyDescent="0.25"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</row>
    <row r="64" spans="2:148" x14ac:dyDescent="0.25"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</row>
    <row r="65" spans="2:148" x14ac:dyDescent="0.25"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</row>
    <row r="66" spans="2:148" x14ac:dyDescent="0.25"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</row>
    <row r="67" spans="2:148" x14ac:dyDescent="0.25"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</row>
    <row r="68" spans="2:148" x14ac:dyDescent="0.25"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</row>
    <row r="69" spans="2:148" x14ac:dyDescent="0.25"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</row>
    <row r="70" spans="2:148" x14ac:dyDescent="0.25"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</row>
    <row r="71" spans="2:148" x14ac:dyDescent="0.25"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</row>
    <row r="72" spans="2:148" x14ac:dyDescent="0.25"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</row>
    <row r="73" spans="2:148" x14ac:dyDescent="0.25"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</row>
    <row r="74" spans="2:148" x14ac:dyDescent="0.25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</row>
    <row r="75" spans="2:148" x14ac:dyDescent="0.25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</row>
    <row r="76" spans="2:148" x14ac:dyDescent="0.25"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</row>
    <row r="77" spans="2:148" x14ac:dyDescent="0.25"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</row>
    <row r="78" spans="2:148" x14ac:dyDescent="0.25"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</row>
    <row r="79" spans="2:148" x14ac:dyDescent="0.25"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</row>
    <row r="80" spans="2:148" x14ac:dyDescent="0.25"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</row>
    <row r="81" spans="2:148" x14ac:dyDescent="0.25"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</row>
    <row r="82" spans="2:148" x14ac:dyDescent="0.25"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</row>
    <row r="83" spans="2:148" x14ac:dyDescent="0.2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</row>
    <row r="84" spans="2:148" x14ac:dyDescent="0.2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</row>
    <row r="85" spans="2:148" x14ac:dyDescent="0.2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</row>
    <row r="86" spans="2:148" x14ac:dyDescent="0.2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</row>
    <row r="87" spans="2:148" x14ac:dyDescent="0.2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</row>
    <row r="88" spans="2:148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</row>
    <row r="89" spans="2:148" x14ac:dyDescent="0.2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</row>
    <row r="90" spans="2:148" x14ac:dyDescent="0.2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</row>
    <row r="91" spans="2:148" x14ac:dyDescent="0.2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</row>
  </sheetData>
  <mergeCells count="3">
    <mergeCell ref="M16:M19"/>
    <mergeCell ref="M8:M10"/>
    <mergeCell ref="M12:M14"/>
  </mergeCells>
  <conditionalFormatting sqref="B2:K19">
    <cfRule type="colorScale" priority="8">
      <colorScale>
        <cfvo type="num" val="0"/>
        <cfvo type="num" val="0.5"/>
        <cfvo type="num" val="1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353781-7350-43AB-8033-E93358A65687}">
  <sheetPr codeName="Sheet2"/>
  <dimension ref="B2:C9"/>
  <sheetViews>
    <sheetView zoomScale="85" zoomScaleNormal="85" workbookViewId="0">
      <selection activeCell="H13" sqref="H13"/>
    </sheetView>
  </sheetViews>
  <sheetFormatPr defaultRowHeight="15" x14ac:dyDescent="0.25"/>
  <cols>
    <col min="1" max="1" width="2.28515625" customWidth="1"/>
    <col min="2" max="2" width="13.140625" customWidth="1"/>
    <col min="3" max="3" width="12.28515625" customWidth="1"/>
    <col min="4" max="4" width="2.28515625" customWidth="1"/>
  </cols>
  <sheetData>
    <row r="2" spans="2:3" x14ac:dyDescent="0.25">
      <c r="B2" s="2" t="s">
        <v>11</v>
      </c>
    </row>
    <row r="3" spans="2:3" x14ac:dyDescent="0.25">
      <c r="B3" s="6">
        <f>COUNTIFS(B7:B1048576,"&lt;&gt;"&amp;"")</f>
        <v>3</v>
      </c>
      <c r="C3" s="1"/>
    </row>
    <row r="4" spans="2:3" x14ac:dyDescent="0.25">
      <c r="B4" s="1"/>
      <c r="C4" s="1"/>
    </row>
    <row r="5" spans="2:3" x14ac:dyDescent="0.25">
      <c r="B5" s="1" t="s">
        <v>8</v>
      </c>
      <c r="C5" s="1" t="s">
        <v>7</v>
      </c>
    </row>
    <row r="6" spans="2:3" x14ac:dyDescent="0.25">
      <c r="B6" s="5" t="s">
        <v>3</v>
      </c>
      <c r="C6" s="9">
        <v>0</v>
      </c>
    </row>
    <row r="7" spans="2:3" x14ac:dyDescent="0.25">
      <c r="B7" t="s">
        <v>4</v>
      </c>
      <c r="C7" s="9">
        <v>0</v>
      </c>
    </row>
    <row r="8" spans="2:3" x14ac:dyDescent="0.25">
      <c r="B8" t="s">
        <v>5</v>
      </c>
      <c r="C8" s="9">
        <v>0</v>
      </c>
    </row>
    <row r="9" spans="2:3" x14ac:dyDescent="0.25">
      <c r="B9" t="s">
        <v>6</v>
      </c>
      <c r="C9" s="9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9570F-07EA-4D04-9431-F44C4FCD41FE}">
  <sheetPr codeName="Sheet3"/>
  <dimension ref="B2:AS20"/>
  <sheetViews>
    <sheetView topLeftCell="R1" zoomScale="85" zoomScaleNormal="85" workbookViewId="0">
      <selection activeCell="AS4" sqref="AS4"/>
    </sheetView>
  </sheetViews>
  <sheetFormatPr defaultRowHeight="15" x14ac:dyDescent="0.25"/>
  <cols>
    <col min="1" max="1" width="2.28515625" customWidth="1"/>
    <col min="2" max="10" width="11.85546875" customWidth="1"/>
    <col min="11" max="11" width="12" customWidth="1"/>
    <col min="12" max="12" width="2.28515625" customWidth="1"/>
    <col min="13" max="16" width="11.85546875" customWidth="1"/>
    <col min="17" max="17" width="2.28515625" customWidth="1"/>
    <col min="18" max="25" width="11.85546875" customWidth="1"/>
    <col min="26" max="26" width="2.28515625" customWidth="1"/>
    <col min="27" max="36" width="11.85546875" customWidth="1"/>
    <col min="37" max="37" width="2.28515625" customWidth="1"/>
    <col min="38" max="45" width="11.85546875" customWidth="1"/>
  </cols>
  <sheetData>
    <row r="2" spans="2:45" x14ac:dyDescent="0.25">
      <c r="B2" s="2" t="s">
        <v>39</v>
      </c>
      <c r="C2" s="2"/>
      <c r="D2" s="2"/>
      <c r="E2" s="2"/>
      <c r="R2" s="2" t="s">
        <v>43</v>
      </c>
      <c r="AC2" s="2"/>
      <c r="AD2" s="2"/>
    </row>
    <row r="3" spans="2:45" x14ac:dyDescent="0.25">
      <c r="B3" s="6">
        <f>COUNTIFS(B7:B1048576,"&lt;&gt;"&amp;"")</f>
        <v>1</v>
      </c>
      <c r="C3" s="15">
        <f>COUNTIFS(6:6,"&lt;&gt;"&amp;"")/2</f>
        <v>20</v>
      </c>
      <c r="D3" s="15"/>
      <c r="E3" s="15"/>
      <c r="J3" t="s">
        <v>17</v>
      </c>
      <c r="K3" s="9">
        <v>0.19000000000000006</v>
      </c>
      <c r="R3">
        <f ca="1">IF(OR(R7&lt;0,R7&gt;9),1,IF(V7&gt;17,0,OFFSET(Board!$B$22,-Entities!V7,Entities!R7)))</f>
        <v>0</v>
      </c>
      <c r="S3">
        <f ca="1">IF(OR(S7&lt;0,S7&gt;9),1,IF(W7&gt;17,0,OFFSET(Board!$B$22,-Entities!W7,Entities!S7)))</f>
        <v>2</v>
      </c>
      <c r="T3">
        <f ca="1">IF(OR(T7&lt;0,T7&gt;9),1,IF(X7&gt;17,0,OFFSET(Board!$B$22,-Entities!X7,Entities!T7)))</f>
        <v>1</v>
      </c>
      <c r="Y3" s="53">
        <f ca="1">MAX(R3:U3)</f>
        <v>2</v>
      </c>
      <c r="AA3" t="s">
        <v>44</v>
      </c>
      <c r="AB3">
        <f ca="1">C7*Y3</f>
        <v>2</v>
      </c>
      <c r="AC3" s="15"/>
      <c r="AD3" s="15"/>
      <c r="AE3">
        <v>1</v>
      </c>
      <c r="AF3">
        <v>-0.4</v>
      </c>
      <c r="AI3" t="s">
        <v>17</v>
      </c>
      <c r="AJ3" s="48">
        <f>MIN(K3+0.01*C7,0.59)</f>
        <v>0.20000000000000007</v>
      </c>
      <c r="AS3">
        <v>21</v>
      </c>
    </row>
    <row r="4" spans="2:45" x14ac:dyDescent="0.25">
      <c r="B4" s="7"/>
      <c r="C4" s="7"/>
      <c r="D4" s="7"/>
      <c r="E4" s="7"/>
      <c r="R4" s="7"/>
      <c r="S4" s="7"/>
      <c r="T4" s="7"/>
      <c r="U4" s="7"/>
      <c r="V4" s="7"/>
      <c r="W4" s="7"/>
      <c r="X4" s="7"/>
      <c r="Y4" s="6">
        <f ca="1">MIN(V11:Y11)</f>
        <v>16</v>
      </c>
      <c r="AA4" s="7"/>
      <c r="AB4" s="7"/>
      <c r="AC4" s="7"/>
      <c r="AD4" s="7"/>
      <c r="AL4" s="7"/>
      <c r="AM4" s="7"/>
      <c r="AN4" s="7"/>
      <c r="AO4" s="7"/>
      <c r="AP4" s="7"/>
      <c r="AQ4" s="7"/>
      <c r="AR4" s="7"/>
      <c r="AS4" s="7"/>
    </row>
    <row r="5" spans="2:45" x14ac:dyDescent="0.25">
      <c r="B5" s="11" t="s">
        <v>9</v>
      </c>
      <c r="C5" s="32"/>
      <c r="D5" s="32"/>
      <c r="E5" s="32"/>
      <c r="F5" s="14"/>
      <c r="G5" s="14"/>
      <c r="H5" s="14"/>
      <c r="I5" s="14"/>
      <c r="J5" s="14"/>
      <c r="K5" s="12"/>
      <c r="M5" s="11" t="s">
        <v>37</v>
      </c>
      <c r="N5" s="14"/>
      <c r="O5" s="14"/>
      <c r="P5" s="12"/>
      <c r="R5" s="11" t="s">
        <v>35</v>
      </c>
      <c r="S5" s="32"/>
      <c r="T5" s="32"/>
      <c r="U5" s="32"/>
      <c r="V5" s="11" t="s">
        <v>36</v>
      </c>
      <c r="W5" s="32"/>
      <c r="X5" s="32"/>
      <c r="Y5" s="35"/>
      <c r="AA5" s="11" t="s">
        <v>10</v>
      </c>
      <c r="AB5" s="32"/>
      <c r="AC5" s="32"/>
      <c r="AD5" s="32"/>
      <c r="AE5" s="14"/>
      <c r="AF5" s="14"/>
      <c r="AG5" s="14"/>
      <c r="AH5" s="14"/>
      <c r="AI5" s="14"/>
      <c r="AJ5" s="12"/>
      <c r="AL5" s="11" t="s">
        <v>33</v>
      </c>
      <c r="AM5" s="32"/>
      <c r="AN5" s="32"/>
      <c r="AO5" s="32"/>
      <c r="AP5" s="11" t="s">
        <v>34</v>
      </c>
      <c r="AQ5" s="32"/>
      <c r="AR5" s="32"/>
      <c r="AS5" s="35"/>
    </row>
    <row r="6" spans="2:45" x14ac:dyDescent="0.25">
      <c r="B6" s="1" t="s">
        <v>2</v>
      </c>
      <c r="C6" s="1" t="s">
        <v>20</v>
      </c>
      <c r="D6" s="1" t="s">
        <v>23</v>
      </c>
      <c r="E6" s="1" t="s">
        <v>24</v>
      </c>
      <c r="F6" s="1" t="s">
        <v>0</v>
      </c>
      <c r="G6" s="1" t="s">
        <v>1</v>
      </c>
      <c r="H6" s="1" t="s">
        <v>15</v>
      </c>
      <c r="I6" s="1" t="s">
        <v>14</v>
      </c>
      <c r="J6" s="1" t="s">
        <v>16</v>
      </c>
      <c r="K6" s="1" t="s">
        <v>12</v>
      </c>
      <c r="M6" s="1" t="s">
        <v>0</v>
      </c>
      <c r="N6" s="1" t="s">
        <v>1</v>
      </c>
      <c r="O6" s="1" t="s">
        <v>15</v>
      </c>
      <c r="P6" s="1" t="s">
        <v>14</v>
      </c>
      <c r="R6" s="1" t="s">
        <v>25</v>
      </c>
      <c r="S6" s="1" t="s">
        <v>26</v>
      </c>
      <c r="T6" s="1" t="s">
        <v>27</v>
      </c>
      <c r="U6" s="1" t="s">
        <v>28</v>
      </c>
      <c r="V6" s="1" t="s">
        <v>29</v>
      </c>
      <c r="W6" s="1" t="s">
        <v>30</v>
      </c>
      <c r="X6" s="1" t="s">
        <v>32</v>
      </c>
      <c r="Y6" s="1" t="s">
        <v>31</v>
      </c>
      <c r="AA6" s="1" t="s">
        <v>2</v>
      </c>
      <c r="AB6" s="1" t="s">
        <v>20</v>
      </c>
      <c r="AC6" s="1" t="s">
        <v>23</v>
      </c>
      <c r="AD6" s="1" t="s">
        <v>24</v>
      </c>
      <c r="AE6" s="1" t="s">
        <v>0</v>
      </c>
      <c r="AF6" s="1" t="s">
        <v>1</v>
      </c>
      <c r="AG6" s="1" t="s">
        <v>15</v>
      </c>
      <c r="AH6" s="1" t="s">
        <v>14</v>
      </c>
      <c r="AI6" s="1" t="s">
        <v>16</v>
      </c>
      <c r="AJ6" s="1" t="s">
        <v>12</v>
      </c>
      <c r="AL6" s="1" t="s">
        <v>25</v>
      </c>
      <c r="AM6" s="1" t="s">
        <v>26</v>
      </c>
      <c r="AN6" s="1" t="s">
        <v>27</v>
      </c>
      <c r="AO6" s="1" t="s">
        <v>28</v>
      </c>
      <c r="AP6" s="1" t="s">
        <v>29</v>
      </c>
      <c r="AQ6" s="1" t="s">
        <v>30</v>
      </c>
      <c r="AR6" s="1" t="s">
        <v>32</v>
      </c>
      <c r="AS6" s="1" t="s">
        <v>31</v>
      </c>
    </row>
    <row r="7" spans="2:45" x14ac:dyDescent="0.25">
      <c r="B7" s="13" t="s">
        <v>13</v>
      </c>
      <c r="C7" s="33">
        <v>1</v>
      </c>
      <c r="D7" s="33">
        <v>5</v>
      </c>
      <c r="E7" s="33">
        <v>0</v>
      </c>
      <c r="F7" s="16">
        <v>3</v>
      </c>
      <c r="G7" s="16">
        <v>15.81</v>
      </c>
      <c r="H7" s="16">
        <v>3</v>
      </c>
      <c r="I7" s="16">
        <v>15</v>
      </c>
      <c r="J7" s="16">
        <v>1</v>
      </c>
      <c r="K7" s="9">
        <v>1</v>
      </c>
      <c r="M7" s="17">
        <f>IF(C7=0,F7+(KeyboardInputs!$C$9-KeyboardInputs!$C$7)*$AE$3,3)</f>
        <v>3</v>
      </c>
      <c r="N7" s="17">
        <f>IF(C7=0,G7+(KeyboardInputs!$C$8)*$AF$3-$K$3,16-$K$3)</f>
        <v>15.81</v>
      </c>
      <c r="O7" s="17">
        <f>INT(M7)</f>
        <v>3</v>
      </c>
      <c r="P7" s="17">
        <f>INT(N7)</f>
        <v>15</v>
      </c>
      <c r="R7" s="59" cm="1">
        <f t="array" aca="1" ref="R7:T7" ca="1">TRANSPOSE(OFFSET(TileTypes!Z4,D7*6,E7*3,3,1))+O7</f>
        <v>4</v>
      </c>
      <c r="S7" s="38">
        <f ca="1"/>
        <v>5</v>
      </c>
      <c r="T7" s="38">
        <f ca="1"/>
        <v>6</v>
      </c>
      <c r="U7" s="38"/>
      <c r="V7" s="59" cm="1">
        <f t="array" aca="1" ref="V7:X7" ca="1">TRANSPOSE(OFFSET(TileTypes!AA4,D7*6,E7*3,3,1))+P7</f>
        <v>18</v>
      </c>
      <c r="W7" s="38">
        <f ca="1"/>
        <v>17</v>
      </c>
      <c r="X7" s="38">
        <f ca="1"/>
        <v>16</v>
      </c>
      <c r="Y7" s="38"/>
      <c r="AA7" s="4" t="str">
        <f>B7</f>
        <v>Controlled</v>
      </c>
      <c r="AB7" s="34">
        <f ca="1">IF(AI7=1,1,MIN(C7,0))</f>
        <v>1</v>
      </c>
      <c r="AC7" s="17">
        <f ca="1">IF(C7=0,D7,TileTypes!$X$2)</f>
        <v>1</v>
      </c>
      <c r="AD7" s="17">
        <f ca="1">IF(Y20&gt;0,E7,IF(AI7=0,MOD(E7+KeyboardInputs!C6,4),E7))</f>
        <v>0</v>
      </c>
      <c r="AE7" s="17">
        <f ca="1">IF(OR(MIN(R11:U11)&lt;0,MAX(R11:U11)&gt;9,MAX(R3:U3)&gt;0),F7,IF(C7=0,IF(AI7=0,F7+(KeyboardInputs!$C$9-KeyboardInputs!$C$7)*$AE$3,F7),3))</f>
        <v>3</v>
      </c>
      <c r="AF7" s="17">
        <f>IF(C7=0,IF(AI7=0,G7+(KeyboardInputs!$C$8)*$AF$3-$K$3,G7),16-$K$3)</f>
        <v>15.81</v>
      </c>
      <c r="AG7" s="17">
        <f ca="1">INT(AE7)</f>
        <v>3</v>
      </c>
      <c r="AH7" s="17">
        <f>INT(AF7)</f>
        <v>15</v>
      </c>
      <c r="AI7" s="17">
        <f ca="1">MIN(IF(V7&lt;18,OFFSET(Board!$B$22,-V7,MIN(MAX(R11,0),9)),0)+IF(W7&lt;18,OFFSET(Board!$B$22,-W7,MIN(MAX(S11,0),9)),0)+IF(X7&lt;18,OFFSET(Board!$B$22,-X7,MIN(MAX(T11,0),9)),0),1)</f>
        <v>1</v>
      </c>
      <c r="AJ7" s="3">
        <f>K7</f>
        <v>1</v>
      </c>
      <c r="AL7" s="59" cm="1">
        <f t="array" aca="1" ref="AL7:AN7" ca="1">TRANSPOSE(OFFSET(TileTypes!Z4,AC7*6,AD7*3,3,1))+AG7</f>
        <v>5</v>
      </c>
      <c r="AM7" s="38">
        <f ca="1"/>
        <v>5</v>
      </c>
      <c r="AN7" s="38">
        <f ca="1"/>
        <v>6</v>
      </c>
      <c r="AO7" s="38"/>
      <c r="AP7" s="59" cm="1">
        <f t="array" aca="1" ref="AP7:AR7" ca="1">TRANSPOSE(OFFSET(TileTypes!AA4,AC7*6,AD7*3,3,1))+AH7</f>
        <v>16</v>
      </c>
      <c r="AQ7" s="38">
        <f ca="1"/>
        <v>17</v>
      </c>
      <c r="AR7" s="38">
        <f ca="1"/>
        <v>18</v>
      </c>
      <c r="AS7" s="38"/>
    </row>
    <row r="9" spans="2:45" x14ac:dyDescent="0.25">
      <c r="R9" s="60" cm="1">
        <f t="array" aca="1" ref="R9:T9" ca="1">TRANSPOSE(OFFSET(TileTypes!Z4,D7*6,E7*3,3,1))+H7</f>
        <v>4</v>
      </c>
      <c r="S9" s="3">
        <f ca="1"/>
        <v>5</v>
      </c>
      <c r="T9" s="3">
        <f ca="1"/>
        <v>6</v>
      </c>
      <c r="U9" s="3"/>
      <c r="V9" s="60" cm="1">
        <f t="array" aca="1" ref="V9:X9" ca="1">TRANSPOSE(OFFSET(TileTypes!AA4,D7*6,E7*3,3,1))+I7</f>
        <v>18</v>
      </c>
      <c r="W9" s="3">
        <f ca="1"/>
        <v>17</v>
      </c>
      <c r="X9" s="3">
        <f ca="1"/>
        <v>16</v>
      </c>
      <c r="Y9" s="3"/>
    </row>
    <row r="11" spans="2:45" x14ac:dyDescent="0.25">
      <c r="R11" s="3">
        <f ca="1">IF($Y$3=0,R7,R9)</f>
        <v>4</v>
      </c>
      <c r="S11" s="3">
        <f t="shared" ref="S11:T11" ca="1" si="0">IF($Y$3=0,S7,S9)</f>
        <v>5</v>
      </c>
      <c r="T11" s="3">
        <f t="shared" ca="1" si="0"/>
        <v>6</v>
      </c>
      <c r="U11" s="3"/>
      <c r="V11" s="3">
        <f ca="1">V7</f>
        <v>18</v>
      </c>
      <c r="W11" s="3">
        <f t="shared" ref="W11:X11" ca="1" si="1">W7</f>
        <v>17</v>
      </c>
      <c r="X11" s="3">
        <f t="shared" ca="1" si="1"/>
        <v>16</v>
      </c>
      <c r="Y11" s="3"/>
    </row>
    <row r="16" spans="2:45" x14ac:dyDescent="0.25">
      <c r="R16" s="54">
        <f>MOD(E7+KeyboardInputs!C6,4)</f>
        <v>0</v>
      </c>
    </row>
    <row r="18" spans="18:25" x14ac:dyDescent="0.25">
      <c r="R18" s="54" cm="1">
        <f t="array" aca="1" ref="R18:T18" ca="1">TRANSPOSE(OFFSET(TileTypes!Z4,AC7*6,R16*3,3,1))+AG7</f>
        <v>5</v>
      </c>
      <c r="S18">
        <f ca="1"/>
        <v>5</v>
      </c>
      <c r="T18">
        <f ca="1"/>
        <v>6</v>
      </c>
      <c r="V18" s="54" cm="1">
        <f t="array" aca="1" ref="V18:X18" ca="1">TRANSPOSE(OFFSET(TileTypes!AA4,AC7*6,R16*3,3,1))+AH7</f>
        <v>16</v>
      </c>
      <c r="W18">
        <f ca="1"/>
        <v>17</v>
      </c>
      <c r="X18">
        <f ca="1"/>
        <v>18</v>
      </c>
    </row>
    <row r="20" spans="18:25" x14ac:dyDescent="0.25">
      <c r="R20">
        <f ca="1">IF(OR(R18&lt;0,R18&gt;9),1,IF(V18&gt;17,0,OFFSET(Board!$B$22,-Entities!V18,Entities!R18)))</f>
        <v>1</v>
      </c>
      <c r="S20">
        <f ca="1">IF(OR(S18&lt;0,S18&gt;9),1,IF(W18&gt;17,0,OFFSET(Board!$B$22,-Entities!W18,Entities!S18)))</f>
        <v>2</v>
      </c>
      <c r="T20">
        <f ca="1">IF(OR(T18&lt;0,T18&gt;9),1,IF(X18&gt;17,0,OFFSET(Board!$B$22,-Entities!X18,Entities!T18)))</f>
        <v>0</v>
      </c>
      <c r="Y20" s="53">
        <f ca="1">MAX(R20:U20)</f>
        <v>2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FB745-303D-4049-81DC-E22CE17308F2}">
  <sheetPr codeName="Sheet6"/>
  <dimension ref="A2:FE94"/>
  <sheetViews>
    <sheetView zoomScale="85" zoomScaleNormal="85" workbookViewId="0">
      <selection activeCell="N22" sqref="N22:W22"/>
    </sheetView>
  </sheetViews>
  <sheetFormatPr defaultRowHeight="15" x14ac:dyDescent="0.25"/>
  <cols>
    <col min="1" max="1" width="2.85546875" customWidth="1"/>
    <col min="2" max="11" width="5.28515625" customWidth="1"/>
    <col min="13" max="13" width="2.85546875" customWidth="1"/>
    <col min="14" max="23" width="5.28515625" customWidth="1"/>
    <col min="24" max="24" width="10.7109375" bestFit="1" customWidth="1"/>
  </cols>
  <sheetData>
    <row r="2" spans="1:161" x14ac:dyDescent="0.25">
      <c r="B2" s="2" t="s">
        <v>38</v>
      </c>
      <c r="N2" s="2" t="s">
        <v>40</v>
      </c>
    </row>
    <row r="4" spans="1:161" x14ac:dyDescent="0.25">
      <c r="A4" s="8">
        <v>1</v>
      </c>
      <c r="B4" s="3">
        <v>0</v>
      </c>
      <c r="C4" s="3">
        <v>1</v>
      </c>
      <c r="D4" s="3">
        <v>2</v>
      </c>
      <c r="E4" s="3">
        <v>3</v>
      </c>
      <c r="F4" s="3">
        <v>4</v>
      </c>
      <c r="G4" s="3">
        <v>5</v>
      </c>
      <c r="H4" s="3">
        <v>6</v>
      </c>
      <c r="I4" s="3">
        <v>7</v>
      </c>
      <c r="J4" s="3">
        <v>8</v>
      </c>
      <c r="K4" s="3">
        <v>9</v>
      </c>
      <c r="M4" s="8">
        <v>1</v>
      </c>
      <c r="N4" s="3">
        <v>0</v>
      </c>
      <c r="O4" s="3">
        <v>1</v>
      </c>
      <c r="P4" s="3">
        <v>2</v>
      </c>
      <c r="Q4" s="3">
        <v>3</v>
      </c>
      <c r="R4" s="3">
        <v>4</v>
      </c>
      <c r="S4" s="3">
        <v>5</v>
      </c>
      <c r="T4" s="3">
        <v>6</v>
      </c>
      <c r="U4" s="3">
        <v>7</v>
      </c>
      <c r="V4" s="3">
        <v>8</v>
      </c>
      <c r="W4" s="3">
        <v>9</v>
      </c>
      <c r="X4" s="30" t="s">
        <v>41</v>
      </c>
      <c r="Y4" s="30" t="s">
        <v>42</v>
      </c>
      <c r="Z4" s="30" t="s">
        <v>45</v>
      </c>
      <c r="AA4" s="57" t="s">
        <v>46</v>
      </c>
    </row>
    <row r="5" spans="1:161" ht="27.75" customHeight="1" x14ac:dyDescent="0.25">
      <c r="A5">
        <v>17</v>
      </c>
      <c r="B5" s="39">
        <v>0</v>
      </c>
      <c r="C5" s="39">
        <v>0</v>
      </c>
      <c r="D5" s="39">
        <v>0</v>
      </c>
      <c r="E5" s="39">
        <v>0</v>
      </c>
      <c r="F5" s="39">
        <v>0</v>
      </c>
      <c r="G5" s="39">
        <v>2</v>
      </c>
      <c r="H5" s="39">
        <v>0</v>
      </c>
      <c r="I5" s="39">
        <v>0</v>
      </c>
      <c r="J5" s="39">
        <v>0</v>
      </c>
      <c r="K5" s="49">
        <v>0</v>
      </c>
      <c r="L5" s="10"/>
      <c r="M5">
        <v>17</v>
      </c>
      <c r="N5" s="39">
        <f t="array" aca="1" ref="N5" ca="1">SUM(IF(Entities!$AI$7=1,IF(Entities!$AL$7:$AN$7=N$4,IF(Entities!$AP$7:$AR$7=$M5,1,0),0),0))+IF($AA5+$M5&gt;17,0,OFFSET(B5,-$AA5,0))</f>
        <v>0</v>
      </c>
      <c r="O5" s="39">
        <f t="array" aca="1" ref="O5" ca="1">SUM(IF(Entities!$AI$7=1,IF(Entities!$AL$7:$AN$7=O$4,IF(Entities!$AP$7:$AR$7=$M5,1,0),0),0))+IF($AA5+$M5&gt;17,0,OFFSET(C5,-$AA5,0))</f>
        <v>0</v>
      </c>
      <c r="P5" s="39">
        <f t="array" aca="1" ref="P5" ca="1">SUM(IF(Entities!$AI$7=1,IF(Entities!$AL$7:$AN$7=P$4,IF(Entities!$AP$7:$AR$7=$M5,1,0),0),0))+IF($AA5+$M5&gt;17,0,OFFSET(D5,-$AA5,0))</f>
        <v>0</v>
      </c>
      <c r="Q5" s="39">
        <f t="array" aca="1" ref="Q5" ca="1">SUM(IF(Entities!$AI$7=1,IF(Entities!$AL$7:$AN$7=Q$4,IF(Entities!$AP$7:$AR$7=$M5,1,0),0),0))+IF($AA5+$M5&gt;17,0,OFFSET(E5,-$AA5,0))</f>
        <v>0</v>
      </c>
      <c r="R5" s="39">
        <f t="array" aca="1" ref="R5" ca="1">SUM(IF(Entities!$AI$7=1,IF(Entities!$AL$7:$AN$7=R$4,IF(Entities!$AP$7:$AR$7=$M5,1,0),0),0))+IF($AA5+$M5&gt;17,0,OFFSET(F5,-$AA5,0))</f>
        <v>0</v>
      </c>
      <c r="S5" s="39">
        <f t="array" aca="1" ref="S5" ca="1">SUM(IF(Entities!$AI$7=1,IF(Entities!$AL$7:$AN$7=S$4,IF(Entities!$AP$7:$AR$7=$M5,1,0),0),0))+IF($AA5+$M5&gt;17,0,OFFSET(G5,-$AA5,0))</f>
        <v>3</v>
      </c>
      <c r="T5" s="39">
        <f t="array" aca="1" ref="T5" ca="1">SUM(IF(Entities!$AI$7=1,IF(Entities!$AL$7:$AN$7=T$4,IF(Entities!$AP$7:$AR$7=$M5,1,0),0),0))+IF($AA5+$M5&gt;17,0,OFFSET(H5,-$AA5,0))</f>
        <v>0</v>
      </c>
      <c r="U5" s="39">
        <f t="array" aca="1" ref="U5" ca="1">SUM(IF(Entities!$AI$7=1,IF(Entities!$AL$7:$AN$7=U$4,IF(Entities!$AP$7:$AR$7=$M5,1,0),0),0))+IF($AA5+$M5&gt;17,0,OFFSET(I5,-$AA5,0))</f>
        <v>0</v>
      </c>
      <c r="V5" s="39">
        <f t="array" aca="1" ref="V5" ca="1">SUM(IF(Entities!$AI$7=1,IF(Entities!$AL$7:$AN$7=V$4,IF(Entities!$AP$7:$AR$7=$M5,1,0),0),0))+IF($AA5+$M5&gt;17,0,OFFSET(J5,-$AA5,0))</f>
        <v>0</v>
      </c>
      <c r="W5" s="49">
        <f t="array" aca="1" ref="W5" ca="1">SUM(IF(Entities!$AI$7=1,IF(Entities!$AL$7:$AN$7=W$4,IF(Entities!$AP$7:$AR$7=$M5,1,0),0),0))+IF($AA5+$M5&gt;17,0,OFFSET(K5,-$AA5,0))</f>
        <v>0</v>
      </c>
      <c r="X5" s="56">
        <f t="shared" ref="X5:X7" si="0">SUM(B5:K5)</f>
        <v>2</v>
      </c>
      <c r="Y5" s="52">
        <f t="shared" ref="Y5:Y22" si="1">IF(X5=COUNT($N$4:$W$4),1,0)</f>
        <v>0</v>
      </c>
      <c r="Z5" s="10">
        <f>Y22</f>
        <v>0</v>
      </c>
      <c r="AA5" s="10"/>
      <c r="AB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  <c r="BT5" s="10"/>
      <c r="BU5" s="10"/>
      <c r="BV5" s="10"/>
      <c r="BW5" s="10"/>
      <c r="BX5" s="10"/>
      <c r="BY5" s="10"/>
      <c r="BZ5" s="10"/>
      <c r="CA5" s="10"/>
      <c r="CB5" s="10"/>
      <c r="CC5" s="10"/>
      <c r="CD5" s="10"/>
      <c r="CE5" s="10"/>
      <c r="CF5" s="10"/>
      <c r="CG5" s="10"/>
      <c r="CH5" s="10"/>
      <c r="CI5" s="10"/>
      <c r="CJ5" s="10"/>
      <c r="CK5" s="10"/>
      <c r="CL5" s="10"/>
      <c r="CM5" s="10"/>
      <c r="CN5" s="10"/>
      <c r="CO5" s="10"/>
      <c r="CP5" s="10"/>
      <c r="CQ5" s="10"/>
      <c r="CR5" s="10"/>
      <c r="CS5" s="10"/>
      <c r="CT5" s="10"/>
      <c r="CU5" s="10"/>
      <c r="CV5" s="10"/>
      <c r="CW5" s="10"/>
      <c r="CX5" s="10"/>
      <c r="CY5" s="10"/>
      <c r="CZ5" s="10"/>
      <c r="DA5" s="10"/>
      <c r="DB5" s="10"/>
      <c r="DC5" s="10"/>
      <c r="DD5" s="10"/>
      <c r="DE5" s="10"/>
      <c r="DF5" s="10"/>
      <c r="DG5" s="10"/>
      <c r="DH5" s="10"/>
      <c r="DI5" s="10"/>
      <c r="DJ5" s="10"/>
      <c r="DK5" s="10"/>
      <c r="DL5" s="10"/>
      <c r="DM5" s="10"/>
      <c r="DN5" s="10"/>
      <c r="DO5" s="10"/>
      <c r="DP5" s="10"/>
      <c r="DQ5" s="10"/>
      <c r="DR5" s="10"/>
      <c r="DS5" s="10"/>
      <c r="DT5" s="10"/>
      <c r="DU5" s="10"/>
      <c r="DV5" s="10"/>
      <c r="DW5" s="10"/>
      <c r="DX5" s="10"/>
      <c r="DY5" s="10"/>
      <c r="DZ5" s="10"/>
      <c r="EA5" s="10"/>
      <c r="EB5" s="10"/>
      <c r="EC5" s="10"/>
      <c r="ED5" s="10"/>
      <c r="EE5" s="10"/>
      <c r="EF5" s="10"/>
      <c r="EG5" s="10"/>
      <c r="EH5" s="10"/>
      <c r="EI5" s="10"/>
      <c r="EJ5" s="10"/>
      <c r="EK5" s="10"/>
      <c r="EL5" s="10"/>
      <c r="EM5" s="10"/>
      <c r="EN5" s="10"/>
      <c r="EO5" s="10"/>
      <c r="EP5" s="10"/>
      <c r="EQ5" s="10"/>
      <c r="ER5" s="10"/>
      <c r="ES5" s="10"/>
      <c r="ET5" s="10"/>
      <c r="EU5" s="10"/>
      <c r="EV5" s="10"/>
      <c r="EW5" s="10"/>
      <c r="EX5" s="10"/>
      <c r="EY5" s="10"/>
      <c r="EZ5" s="10"/>
      <c r="FA5" s="10"/>
      <c r="FB5" s="10"/>
      <c r="FC5" s="10"/>
      <c r="FD5" s="10"/>
      <c r="FE5" s="10"/>
    </row>
    <row r="6" spans="1:161" ht="27.75" customHeight="1" x14ac:dyDescent="0.25">
      <c r="A6">
        <v>16</v>
      </c>
      <c r="B6" s="39">
        <v>0</v>
      </c>
      <c r="C6" s="39">
        <v>0</v>
      </c>
      <c r="D6" s="39">
        <v>0</v>
      </c>
      <c r="E6" s="39">
        <v>0</v>
      </c>
      <c r="F6" s="39">
        <v>0</v>
      </c>
      <c r="G6" s="39">
        <v>1</v>
      </c>
      <c r="H6" s="39">
        <v>1</v>
      </c>
      <c r="I6" s="39">
        <v>0</v>
      </c>
      <c r="J6" s="39">
        <v>0</v>
      </c>
      <c r="K6" s="49">
        <v>0</v>
      </c>
      <c r="L6" s="10"/>
      <c r="M6">
        <v>16</v>
      </c>
      <c r="N6" s="39">
        <f t="array" aca="1" ref="N6" ca="1">SUM(IF(Entities!$AI$7=1,IF(Entities!$AL$7:$AN$7=N$4,IF(Entities!$AP$7:$AR$7=$M6,1,0),0),0))+IF($AA6+$M6&gt;17,0,OFFSET(B6,-$AA6,0))</f>
        <v>0</v>
      </c>
      <c r="O6" s="39">
        <f t="array" aca="1" ref="O6" ca="1">SUM(IF(Entities!$AI$7=1,IF(Entities!$AL$7:$AN$7=O$4,IF(Entities!$AP$7:$AR$7=$M6,1,0),0),0))+IF($AA6+$M6&gt;17,0,OFFSET(C6,-$AA6,0))</f>
        <v>0</v>
      </c>
      <c r="P6" s="39">
        <f t="array" aca="1" ref="P6" ca="1">SUM(IF(Entities!$AI$7=1,IF(Entities!$AL$7:$AN$7=P$4,IF(Entities!$AP$7:$AR$7=$M6,1,0),0),0))+IF($AA6+$M6&gt;17,0,OFFSET(D6,-$AA6,0))</f>
        <v>0</v>
      </c>
      <c r="Q6" s="39">
        <f t="array" aca="1" ref="Q6" ca="1">SUM(IF(Entities!$AI$7=1,IF(Entities!$AL$7:$AN$7=Q$4,IF(Entities!$AP$7:$AR$7=$M6,1,0),0),0))+IF($AA6+$M6&gt;17,0,OFFSET(E6,-$AA6,0))</f>
        <v>0</v>
      </c>
      <c r="R6" s="39">
        <f t="array" aca="1" ref="R6" ca="1">SUM(IF(Entities!$AI$7=1,IF(Entities!$AL$7:$AN$7=R$4,IF(Entities!$AP$7:$AR$7=$M6,1,0),0),0))+IF($AA6+$M6&gt;17,0,OFFSET(F6,-$AA6,0))</f>
        <v>0</v>
      </c>
      <c r="S6" s="39">
        <f t="array" aca="1" ref="S6" ca="1">SUM(IF(Entities!$AI$7=1,IF(Entities!$AL$7:$AN$7=S$4,IF(Entities!$AP$7:$AR$7=$M6,1,0),0),0))+IF($AA6+$M6&gt;17,0,OFFSET(G6,-$AA6,0))</f>
        <v>2</v>
      </c>
      <c r="T6" s="39">
        <f t="array" aca="1" ref="T6" ca="1">SUM(IF(Entities!$AI$7=1,IF(Entities!$AL$7:$AN$7=T$4,IF(Entities!$AP$7:$AR$7=$M6,1,0),0),0))+IF($AA6+$M6&gt;17,0,OFFSET(H6,-$AA6,0))</f>
        <v>1</v>
      </c>
      <c r="U6" s="39">
        <f t="array" aca="1" ref="U6" ca="1">SUM(IF(Entities!$AI$7=1,IF(Entities!$AL$7:$AN$7=U$4,IF(Entities!$AP$7:$AR$7=$M6,1,0),0),0))+IF($AA6+$M6&gt;17,0,OFFSET(I6,-$AA6,0))</f>
        <v>0</v>
      </c>
      <c r="V6" s="39">
        <f t="array" aca="1" ref="V6" ca="1">SUM(IF(Entities!$AI$7=1,IF(Entities!$AL$7:$AN$7=V$4,IF(Entities!$AP$7:$AR$7=$M6,1,0),0),0))+IF($AA6+$M6&gt;17,0,OFFSET(J6,-$AA6,0))</f>
        <v>0</v>
      </c>
      <c r="W6" s="49">
        <f t="array" aca="1" ref="W6" ca="1">SUM(IF(Entities!$AI$7=1,IF(Entities!$AL$7:$AN$7=W$4,IF(Entities!$AP$7:$AR$7=$M6,1,0),0),0))+IF($AA6+$M6&gt;17,0,OFFSET(K6,-$AA6,0))</f>
        <v>0</v>
      </c>
      <c r="X6" s="56">
        <f t="shared" si="0"/>
        <v>2</v>
      </c>
      <c r="Y6" s="52">
        <f t="shared" si="1"/>
        <v>0</v>
      </c>
      <c r="Z6" s="10">
        <f>Y21</f>
        <v>0</v>
      </c>
      <c r="AA6" s="10">
        <f t="shared" ref="AA6:AA21" ca="1" si="2">(MATCH(0,OFFSET($Z$5,$M6,0,20-$M6,1),0)-1)+AA7</f>
        <v>0</v>
      </c>
      <c r="AB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  <c r="CB6" s="10"/>
      <c r="CC6" s="10"/>
      <c r="CD6" s="10"/>
      <c r="CE6" s="10"/>
      <c r="CF6" s="10"/>
      <c r="CG6" s="10"/>
      <c r="CH6" s="10"/>
      <c r="CI6" s="10"/>
      <c r="CJ6" s="10"/>
      <c r="CK6" s="10"/>
      <c r="CL6" s="10"/>
      <c r="CM6" s="10"/>
      <c r="CN6" s="10"/>
      <c r="CO6" s="10"/>
      <c r="CP6" s="10"/>
      <c r="CQ6" s="10"/>
      <c r="CR6" s="10"/>
      <c r="CS6" s="10"/>
      <c r="CT6" s="10"/>
      <c r="CU6" s="10"/>
      <c r="CV6" s="10"/>
      <c r="CW6" s="10"/>
      <c r="CX6" s="10"/>
      <c r="CY6" s="10"/>
      <c r="CZ6" s="10"/>
      <c r="DA6" s="10"/>
      <c r="DB6" s="10"/>
      <c r="DC6" s="10"/>
      <c r="DD6" s="10"/>
      <c r="DE6" s="10"/>
      <c r="DF6" s="10"/>
      <c r="DG6" s="10"/>
      <c r="DH6" s="10"/>
      <c r="DI6" s="10"/>
      <c r="DJ6" s="10"/>
      <c r="DK6" s="10"/>
      <c r="DL6" s="10"/>
      <c r="DM6" s="10"/>
      <c r="DN6" s="10"/>
      <c r="DO6" s="10"/>
      <c r="DP6" s="10"/>
      <c r="DQ6" s="10"/>
      <c r="DR6" s="10"/>
      <c r="DS6" s="10"/>
      <c r="DT6" s="10"/>
      <c r="DU6" s="10"/>
      <c r="DV6" s="10"/>
      <c r="DW6" s="10"/>
      <c r="DX6" s="10"/>
      <c r="DY6" s="10"/>
      <c r="DZ6" s="10"/>
      <c r="EA6" s="10"/>
      <c r="EB6" s="10"/>
      <c r="EC6" s="10"/>
      <c r="ED6" s="10"/>
      <c r="EE6" s="10"/>
      <c r="EF6" s="10"/>
      <c r="EG6" s="10"/>
      <c r="EH6" s="10"/>
      <c r="EI6" s="10"/>
      <c r="EJ6" s="10"/>
      <c r="EK6" s="10"/>
      <c r="EL6" s="10"/>
      <c r="EM6" s="10"/>
      <c r="EN6" s="10"/>
      <c r="EO6" s="10"/>
      <c r="EP6" s="10"/>
      <c r="EQ6" s="10"/>
      <c r="ER6" s="10"/>
      <c r="ES6" s="10"/>
      <c r="ET6" s="10"/>
      <c r="EU6" s="10"/>
      <c r="EV6" s="10"/>
      <c r="EW6" s="10"/>
      <c r="EX6" s="10"/>
      <c r="EY6" s="10"/>
      <c r="EZ6" s="10"/>
      <c r="FA6" s="10"/>
      <c r="FB6" s="10"/>
      <c r="FC6" s="10"/>
      <c r="FD6" s="10"/>
      <c r="FE6" s="10"/>
    </row>
    <row r="7" spans="1:161" ht="27.75" customHeight="1" x14ac:dyDescent="0.25">
      <c r="A7">
        <v>15</v>
      </c>
      <c r="B7" s="39">
        <v>0</v>
      </c>
      <c r="C7" s="39">
        <v>0</v>
      </c>
      <c r="D7" s="39">
        <v>0</v>
      </c>
      <c r="E7" s="39">
        <v>0</v>
      </c>
      <c r="F7" s="39">
        <v>0</v>
      </c>
      <c r="G7" s="39">
        <v>0</v>
      </c>
      <c r="H7" s="39">
        <v>1</v>
      </c>
      <c r="I7" s="39">
        <v>0</v>
      </c>
      <c r="J7" s="39">
        <v>0</v>
      </c>
      <c r="K7" s="49">
        <v>0</v>
      </c>
      <c r="L7" s="10"/>
      <c r="M7">
        <v>15</v>
      </c>
      <c r="N7" s="39">
        <f t="array" aca="1" ref="N7" ca="1">SUM(IF(Entities!$AI$7=1,IF(Entities!$AL$7:$AN$7=N$4,IF(Entities!$AP$7:$AR$7=$M7,1,0),0),0))+IF($AA7+$M7&gt;17,0,OFFSET(B7,-$AA7,0))</f>
        <v>0</v>
      </c>
      <c r="O7" s="39">
        <f t="array" aca="1" ref="O7" ca="1">SUM(IF(Entities!$AI$7=1,IF(Entities!$AL$7:$AN$7=O$4,IF(Entities!$AP$7:$AR$7=$M7,1,0),0),0))+IF($AA7+$M7&gt;17,0,OFFSET(C7,-$AA7,0))</f>
        <v>0</v>
      </c>
      <c r="P7" s="39">
        <f t="array" aca="1" ref="P7" ca="1">SUM(IF(Entities!$AI$7=1,IF(Entities!$AL$7:$AN$7=P$4,IF(Entities!$AP$7:$AR$7=$M7,1,0),0),0))+IF($AA7+$M7&gt;17,0,OFFSET(D7,-$AA7,0))</f>
        <v>0</v>
      </c>
      <c r="Q7" s="39">
        <f t="array" aca="1" ref="Q7" ca="1">SUM(IF(Entities!$AI$7=1,IF(Entities!$AL$7:$AN$7=Q$4,IF(Entities!$AP$7:$AR$7=$M7,1,0),0),0))+IF($AA7+$M7&gt;17,0,OFFSET(E7,-$AA7,0))</f>
        <v>0</v>
      </c>
      <c r="R7" s="39">
        <f t="array" aca="1" ref="R7" ca="1">SUM(IF(Entities!$AI$7=1,IF(Entities!$AL$7:$AN$7=R$4,IF(Entities!$AP$7:$AR$7=$M7,1,0),0),0))+IF($AA7+$M7&gt;17,0,OFFSET(F7,-$AA7,0))</f>
        <v>0</v>
      </c>
      <c r="S7" s="39">
        <f t="array" aca="1" ref="S7" ca="1">SUM(IF(Entities!$AI$7=1,IF(Entities!$AL$7:$AN$7=S$4,IF(Entities!$AP$7:$AR$7=$M7,1,0),0),0))+IF($AA7+$M7&gt;17,0,OFFSET(G7,-$AA7,0))</f>
        <v>0</v>
      </c>
      <c r="T7" s="39">
        <f t="array" aca="1" ref="T7" ca="1">SUM(IF(Entities!$AI$7=1,IF(Entities!$AL$7:$AN$7=T$4,IF(Entities!$AP$7:$AR$7=$M7,1,0),0),0))+IF($AA7+$M7&gt;17,0,OFFSET(H7,-$AA7,0))</f>
        <v>1</v>
      </c>
      <c r="U7" s="39">
        <f t="array" aca="1" ref="U7" ca="1">SUM(IF(Entities!$AI$7=1,IF(Entities!$AL$7:$AN$7=U$4,IF(Entities!$AP$7:$AR$7=$M7,1,0),0),0))+IF($AA7+$M7&gt;17,0,OFFSET(I7,-$AA7,0))</f>
        <v>0</v>
      </c>
      <c r="V7" s="39">
        <f t="array" aca="1" ref="V7" ca="1">SUM(IF(Entities!$AI$7=1,IF(Entities!$AL$7:$AN$7=V$4,IF(Entities!$AP$7:$AR$7=$M7,1,0),0),0))+IF($AA7+$M7&gt;17,0,OFFSET(J7,-$AA7,0))</f>
        <v>0</v>
      </c>
      <c r="W7" s="49">
        <f t="array" aca="1" ref="W7" ca="1">SUM(IF(Entities!$AI$7=1,IF(Entities!$AL$7:$AN$7=W$4,IF(Entities!$AP$7:$AR$7=$M7,1,0),0),0))+IF($AA7+$M7&gt;17,0,OFFSET(K7,-$AA7,0))</f>
        <v>0</v>
      </c>
      <c r="X7" s="56">
        <f t="shared" si="0"/>
        <v>1</v>
      </c>
      <c r="Y7" s="52">
        <f t="shared" si="1"/>
        <v>0</v>
      </c>
      <c r="Z7" s="10">
        <f>Y20</f>
        <v>0</v>
      </c>
      <c r="AA7" s="10">
        <f t="shared" ca="1" si="2"/>
        <v>0</v>
      </c>
      <c r="AB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  <c r="BT7" s="10"/>
      <c r="BU7" s="10"/>
      <c r="BV7" s="10"/>
      <c r="BW7" s="10"/>
      <c r="BX7" s="10"/>
      <c r="BY7" s="10"/>
      <c r="BZ7" s="10"/>
      <c r="CA7" s="10"/>
      <c r="CB7" s="10"/>
      <c r="CC7" s="1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0"/>
      <c r="CP7" s="10"/>
      <c r="CQ7" s="10"/>
      <c r="CR7" s="10"/>
      <c r="CS7" s="10"/>
      <c r="CT7" s="10"/>
      <c r="CU7" s="10"/>
      <c r="CV7" s="10"/>
      <c r="CW7" s="10"/>
      <c r="CX7" s="10"/>
      <c r="CY7" s="10"/>
      <c r="CZ7" s="10"/>
      <c r="DA7" s="10"/>
      <c r="DB7" s="10"/>
      <c r="DC7" s="10"/>
      <c r="DD7" s="10"/>
      <c r="DE7" s="10"/>
      <c r="DF7" s="10"/>
      <c r="DG7" s="10"/>
      <c r="DH7" s="10"/>
      <c r="DI7" s="10"/>
      <c r="DJ7" s="10"/>
      <c r="DK7" s="10"/>
      <c r="DL7" s="10"/>
      <c r="DM7" s="10"/>
      <c r="DN7" s="10"/>
      <c r="DO7" s="10"/>
      <c r="DP7" s="10"/>
      <c r="DQ7" s="10"/>
      <c r="DR7" s="10"/>
      <c r="DS7" s="10"/>
      <c r="DT7" s="10"/>
      <c r="DU7" s="10"/>
      <c r="DV7" s="10"/>
      <c r="DW7" s="10"/>
      <c r="DX7" s="10"/>
      <c r="DY7" s="10"/>
      <c r="DZ7" s="10"/>
      <c r="EA7" s="10"/>
      <c r="EB7" s="10"/>
      <c r="EC7" s="10"/>
      <c r="ED7" s="10"/>
      <c r="EE7" s="10"/>
      <c r="EF7" s="10"/>
      <c r="EG7" s="10"/>
      <c r="EH7" s="10"/>
      <c r="EI7" s="10"/>
      <c r="EJ7" s="10"/>
      <c r="EK7" s="10"/>
      <c r="EL7" s="10"/>
      <c r="EM7" s="10"/>
      <c r="EN7" s="10"/>
      <c r="EO7" s="10"/>
      <c r="EP7" s="10"/>
      <c r="EQ7" s="10"/>
      <c r="ER7" s="10"/>
      <c r="ES7" s="10"/>
      <c r="ET7" s="10"/>
      <c r="EU7" s="10"/>
      <c r="EV7" s="10"/>
      <c r="EW7" s="10"/>
      <c r="EX7" s="10"/>
      <c r="EY7" s="10"/>
      <c r="EZ7" s="10"/>
      <c r="FA7" s="10"/>
      <c r="FB7" s="10"/>
      <c r="FC7" s="10"/>
      <c r="FD7" s="10"/>
      <c r="FE7" s="10"/>
    </row>
    <row r="8" spans="1:161" ht="27.75" customHeight="1" x14ac:dyDescent="0.25">
      <c r="A8">
        <v>14</v>
      </c>
      <c r="B8" s="39">
        <v>0</v>
      </c>
      <c r="C8" s="39">
        <v>0</v>
      </c>
      <c r="D8" s="39">
        <v>0</v>
      </c>
      <c r="E8" s="39">
        <v>0</v>
      </c>
      <c r="F8" s="39">
        <v>0</v>
      </c>
      <c r="G8" s="39">
        <v>1</v>
      </c>
      <c r="H8" s="39">
        <v>0</v>
      </c>
      <c r="I8" s="39">
        <v>0</v>
      </c>
      <c r="J8" s="39">
        <v>0</v>
      </c>
      <c r="K8" s="49">
        <v>0</v>
      </c>
      <c r="L8" s="10"/>
      <c r="M8">
        <v>14</v>
      </c>
      <c r="N8" s="39">
        <f t="array" aca="1" ref="N8" ca="1">SUM(IF(Entities!$AI$7=1,IF(Entities!$AL$7:$AN$7=N$4,IF(Entities!$AP$7:$AR$7=$M8,1,0),0),0))+IF($AA8+$M8&gt;17,0,OFFSET(B8,-$AA8,0))</f>
        <v>0</v>
      </c>
      <c r="O8" s="39">
        <f t="array" aca="1" ref="O8" ca="1">SUM(IF(Entities!$AI$7=1,IF(Entities!$AL$7:$AN$7=O$4,IF(Entities!$AP$7:$AR$7=$M8,1,0),0),0))+IF($AA8+$M8&gt;17,0,OFFSET(C8,-$AA8,0))</f>
        <v>0</v>
      </c>
      <c r="P8" s="39">
        <f t="array" aca="1" ref="P8" ca="1">SUM(IF(Entities!$AI$7=1,IF(Entities!$AL$7:$AN$7=P$4,IF(Entities!$AP$7:$AR$7=$M8,1,0),0),0))+IF($AA8+$M8&gt;17,0,OFFSET(D8,-$AA8,0))</f>
        <v>0</v>
      </c>
      <c r="Q8" s="39">
        <f t="array" aca="1" ref="Q8" ca="1">SUM(IF(Entities!$AI$7=1,IF(Entities!$AL$7:$AN$7=Q$4,IF(Entities!$AP$7:$AR$7=$M8,1,0),0),0))+IF($AA8+$M8&gt;17,0,OFFSET(E8,-$AA8,0))</f>
        <v>0</v>
      </c>
      <c r="R8" s="39">
        <f t="array" aca="1" ref="R8" ca="1">SUM(IF(Entities!$AI$7=1,IF(Entities!$AL$7:$AN$7=R$4,IF(Entities!$AP$7:$AR$7=$M8,1,0),0),0))+IF($AA8+$M8&gt;17,0,OFFSET(F8,-$AA8,0))</f>
        <v>0</v>
      </c>
      <c r="S8" s="39">
        <f t="array" aca="1" ref="S8" ca="1">SUM(IF(Entities!$AI$7=1,IF(Entities!$AL$7:$AN$7=S$4,IF(Entities!$AP$7:$AR$7=$M8,1,0),0),0))+IF($AA8+$M8&gt;17,0,OFFSET(G8,-$AA8,0))</f>
        <v>1</v>
      </c>
      <c r="T8" s="39">
        <f t="array" aca="1" ref="T8" ca="1">SUM(IF(Entities!$AI$7=1,IF(Entities!$AL$7:$AN$7=T$4,IF(Entities!$AP$7:$AR$7=$M8,1,0),0),0))+IF($AA8+$M8&gt;17,0,OFFSET(H8,-$AA8,0))</f>
        <v>0</v>
      </c>
      <c r="U8" s="39">
        <f t="array" aca="1" ref="U8" ca="1">SUM(IF(Entities!$AI$7=1,IF(Entities!$AL$7:$AN$7=U$4,IF(Entities!$AP$7:$AR$7=$M8,1,0),0),0))+IF($AA8+$M8&gt;17,0,OFFSET(I8,-$AA8,0))</f>
        <v>0</v>
      </c>
      <c r="V8" s="39">
        <f t="array" aca="1" ref="V8" ca="1">SUM(IF(Entities!$AI$7=1,IF(Entities!$AL$7:$AN$7=V$4,IF(Entities!$AP$7:$AR$7=$M8,1,0),0),0))+IF($AA8+$M8&gt;17,0,OFFSET(J8,-$AA8,0))</f>
        <v>0</v>
      </c>
      <c r="W8" s="49">
        <f t="array" aca="1" ref="W8" ca="1">SUM(IF(Entities!$AI$7=1,IF(Entities!$AL$7:$AN$7=W$4,IF(Entities!$AP$7:$AR$7=$M8,1,0),0),0))+IF($AA8+$M8&gt;17,0,OFFSET(K8,-$AA8,0))</f>
        <v>0</v>
      </c>
      <c r="X8" s="56">
        <f t="shared" ref="X8:X21" si="3">SUM(B8:K8)</f>
        <v>1</v>
      </c>
      <c r="Y8" s="52">
        <f t="shared" si="1"/>
        <v>0</v>
      </c>
      <c r="Z8" s="10">
        <f>Y19</f>
        <v>0</v>
      </c>
      <c r="AA8" s="10">
        <f t="shared" ca="1" si="2"/>
        <v>0</v>
      </c>
      <c r="AB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</row>
    <row r="9" spans="1:161" ht="27.75" customHeight="1" x14ac:dyDescent="0.25">
      <c r="A9">
        <v>13</v>
      </c>
      <c r="B9" s="39">
        <v>0</v>
      </c>
      <c r="C9" s="39">
        <v>0</v>
      </c>
      <c r="D9" s="39">
        <v>0</v>
      </c>
      <c r="E9" s="39">
        <v>0</v>
      </c>
      <c r="F9" s="39">
        <v>0</v>
      </c>
      <c r="G9" s="39">
        <v>0</v>
      </c>
      <c r="H9" s="39">
        <v>1</v>
      </c>
      <c r="I9" s="39">
        <v>0</v>
      </c>
      <c r="J9" s="39">
        <v>0</v>
      </c>
      <c r="K9" s="49">
        <v>0</v>
      </c>
      <c r="L9" s="10"/>
      <c r="M9">
        <v>13</v>
      </c>
      <c r="N9" s="39">
        <f t="array" aca="1" ref="N9" ca="1">SUM(IF(Entities!$AI$7=1,IF(Entities!$AL$7:$AN$7=N$4,IF(Entities!$AP$7:$AR$7=$M9,1,0),0),0))+IF($AA9+$M9&gt;17,0,OFFSET(B9,-$AA9,0))</f>
        <v>0</v>
      </c>
      <c r="O9" s="39">
        <f t="array" aca="1" ref="O9" ca="1">SUM(IF(Entities!$AI$7=1,IF(Entities!$AL$7:$AN$7=O$4,IF(Entities!$AP$7:$AR$7=$M9,1,0),0),0))+IF($AA9+$M9&gt;17,0,OFFSET(C9,-$AA9,0))</f>
        <v>0</v>
      </c>
      <c r="P9" s="39">
        <f t="array" aca="1" ref="P9" ca="1">SUM(IF(Entities!$AI$7=1,IF(Entities!$AL$7:$AN$7=P$4,IF(Entities!$AP$7:$AR$7=$M9,1,0),0),0))+IF($AA9+$M9&gt;17,0,OFFSET(D9,-$AA9,0))</f>
        <v>0</v>
      </c>
      <c r="Q9" s="39">
        <f t="array" aca="1" ref="Q9" ca="1">SUM(IF(Entities!$AI$7=1,IF(Entities!$AL$7:$AN$7=Q$4,IF(Entities!$AP$7:$AR$7=$M9,1,0),0),0))+IF($AA9+$M9&gt;17,0,OFFSET(E9,-$AA9,0))</f>
        <v>0</v>
      </c>
      <c r="R9" s="39">
        <f t="array" aca="1" ref="R9" ca="1">SUM(IF(Entities!$AI$7=1,IF(Entities!$AL$7:$AN$7=R$4,IF(Entities!$AP$7:$AR$7=$M9,1,0),0),0))+IF($AA9+$M9&gt;17,0,OFFSET(F9,-$AA9,0))</f>
        <v>0</v>
      </c>
      <c r="S9" s="39">
        <f t="array" aca="1" ref="S9" ca="1">SUM(IF(Entities!$AI$7=1,IF(Entities!$AL$7:$AN$7=S$4,IF(Entities!$AP$7:$AR$7=$M9,1,0),0),0))+IF($AA9+$M9&gt;17,0,OFFSET(G9,-$AA9,0))</f>
        <v>0</v>
      </c>
      <c r="T9" s="39">
        <f t="array" aca="1" ref="T9" ca="1">SUM(IF(Entities!$AI$7=1,IF(Entities!$AL$7:$AN$7=T$4,IF(Entities!$AP$7:$AR$7=$M9,1,0),0),0))+IF($AA9+$M9&gt;17,0,OFFSET(H9,-$AA9,0))</f>
        <v>1</v>
      </c>
      <c r="U9" s="39">
        <f t="array" aca="1" ref="U9" ca="1">SUM(IF(Entities!$AI$7=1,IF(Entities!$AL$7:$AN$7=U$4,IF(Entities!$AP$7:$AR$7=$M9,1,0),0),0))+IF($AA9+$M9&gt;17,0,OFFSET(I9,-$AA9,0))</f>
        <v>0</v>
      </c>
      <c r="V9" s="39">
        <f t="array" aca="1" ref="V9" ca="1">SUM(IF(Entities!$AI$7=1,IF(Entities!$AL$7:$AN$7=V$4,IF(Entities!$AP$7:$AR$7=$M9,1,0),0),0))+IF($AA9+$M9&gt;17,0,OFFSET(J9,-$AA9,0))</f>
        <v>0</v>
      </c>
      <c r="W9" s="49">
        <f t="array" aca="1" ref="W9" ca="1">SUM(IF(Entities!$AI$7=1,IF(Entities!$AL$7:$AN$7=W$4,IF(Entities!$AP$7:$AR$7=$M9,1,0),0),0))+IF($AA9+$M9&gt;17,0,OFFSET(K9,-$AA9,0))</f>
        <v>0</v>
      </c>
      <c r="X9" s="56">
        <f t="shared" si="3"/>
        <v>1</v>
      </c>
      <c r="Y9" s="52">
        <f t="shared" si="1"/>
        <v>0</v>
      </c>
      <c r="Z9" s="10">
        <f>Y18</f>
        <v>0</v>
      </c>
      <c r="AA9" s="10">
        <f t="shared" ca="1" si="2"/>
        <v>0</v>
      </c>
      <c r="AB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  <c r="BT9" s="10"/>
      <c r="BU9" s="10"/>
      <c r="BV9" s="10"/>
      <c r="BW9" s="10"/>
      <c r="BX9" s="10"/>
      <c r="BY9" s="10"/>
      <c r="BZ9" s="10"/>
      <c r="CA9" s="10"/>
      <c r="CB9" s="10"/>
      <c r="CC9" s="10"/>
      <c r="CD9" s="10"/>
      <c r="CE9" s="10"/>
      <c r="CF9" s="10"/>
      <c r="CG9" s="10"/>
      <c r="CH9" s="10"/>
      <c r="CI9" s="10"/>
      <c r="CJ9" s="10"/>
      <c r="CK9" s="10"/>
      <c r="CL9" s="10"/>
      <c r="CM9" s="10"/>
      <c r="CN9" s="10"/>
      <c r="CO9" s="10"/>
      <c r="CP9" s="10"/>
      <c r="CQ9" s="10"/>
      <c r="CR9" s="10"/>
      <c r="CS9" s="10"/>
      <c r="CT9" s="10"/>
      <c r="CU9" s="10"/>
      <c r="CV9" s="10"/>
      <c r="CW9" s="10"/>
      <c r="CX9" s="10"/>
      <c r="CY9" s="10"/>
      <c r="CZ9" s="10"/>
      <c r="DA9" s="10"/>
      <c r="DB9" s="10"/>
      <c r="DC9" s="10"/>
      <c r="DD9" s="10"/>
      <c r="DE9" s="10"/>
      <c r="DF9" s="10"/>
      <c r="DG9" s="10"/>
      <c r="DH9" s="10"/>
      <c r="DI9" s="10"/>
      <c r="DJ9" s="10"/>
      <c r="DK9" s="10"/>
      <c r="DL9" s="10"/>
      <c r="DM9" s="10"/>
      <c r="DN9" s="10"/>
      <c r="DO9" s="10"/>
      <c r="DP9" s="10"/>
      <c r="DQ9" s="10"/>
      <c r="DR9" s="10"/>
      <c r="DS9" s="10"/>
      <c r="DT9" s="10"/>
      <c r="DU9" s="10"/>
      <c r="DV9" s="10"/>
      <c r="DW9" s="10"/>
      <c r="DX9" s="10"/>
      <c r="DY9" s="10"/>
      <c r="DZ9" s="10"/>
      <c r="EA9" s="10"/>
      <c r="EB9" s="10"/>
      <c r="EC9" s="10"/>
      <c r="ED9" s="10"/>
      <c r="EE9" s="10"/>
      <c r="EF9" s="10"/>
      <c r="EG9" s="10"/>
      <c r="EH9" s="10"/>
      <c r="EI9" s="10"/>
      <c r="EJ9" s="10"/>
      <c r="EK9" s="10"/>
      <c r="EL9" s="10"/>
      <c r="EM9" s="10"/>
      <c r="EN9" s="10"/>
      <c r="EO9" s="10"/>
      <c r="EP9" s="10"/>
      <c r="EQ9" s="10"/>
      <c r="ER9" s="10"/>
      <c r="ES9" s="10"/>
      <c r="ET9" s="10"/>
      <c r="EU9" s="10"/>
      <c r="EV9" s="10"/>
      <c r="EW9" s="10"/>
      <c r="EX9" s="10"/>
      <c r="EY9" s="10"/>
      <c r="EZ9" s="10"/>
      <c r="FA9" s="10"/>
      <c r="FB9" s="10"/>
      <c r="FC9" s="10"/>
      <c r="FD9" s="10"/>
      <c r="FE9" s="10"/>
    </row>
    <row r="10" spans="1:161" ht="27.75" customHeight="1" x14ac:dyDescent="0.25">
      <c r="A10">
        <v>12</v>
      </c>
      <c r="B10" s="39">
        <v>0</v>
      </c>
      <c r="C10" s="39">
        <v>0</v>
      </c>
      <c r="D10" s="39">
        <v>0</v>
      </c>
      <c r="E10" s="39">
        <v>0</v>
      </c>
      <c r="F10" s="39">
        <v>0</v>
      </c>
      <c r="G10" s="39">
        <v>0</v>
      </c>
      <c r="H10" s="39">
        <v>1</v>
      </c>
      <c r="I10" s="39">
        <v>0</v>
      </c>
      <c r="J10" s="39">
        <v>0</v>
      </c>
      <c r="K10" s="49">
        <v>0</v>
      </c>
      <c r="L10" s="10"/>
      <c r="M10">
        <v>12</v>
      </c>
      <c r="N10" s="39">
        <f t="array" aca="1" ref="N10" ca="1">SUM(IF(Entities!$AI$7=1,IF(Entities!$AL$7:$AN$7=N$4,IF(Entities!$AP$7:$AR$7=$M10,1,0),0),0))+IF($AA10+$M10&gt;17,0,OFFSET(B10,-$AA10,0))</f>
        <v>0</v>
      </c>
      <c r="O10" s="39">
        <f t="array" aca="1" ref="O10" ca="1">SUM(IF(Entities!$AI$7=1,IF(Entities!$AL$7:$AN$7=O$4,IF(Entities!$AP$7:$AR$7=$M10,1,0),0),0))+IF($AA10+$M10&gt;17,0,OFFSET(C10,-$AA10,0))</f>
        <v>0</v>
      </c>
      <c r="P10" s="39">
        <f t="array" aca="1" ref="P10" ca="1">SUM(IF(Entities!$AI$7=1,IF(Entities!$AL$7:$AN$7=P$4,IF(Entities!$AP$7:$AR$7=$M10,1,0),0),0))+IF($AA10+$M10&gt;17,0,OFFSET(D10,-$AA10,0))</f>
        <v>0</v>
      </c>
      <c r="Q10" s="39">
        <f t="array" aca="1" ref="Q10" ca="1">SUM(IF(Entities!$AI$7=1,IF(Entities!$AL$7:$AN$7=Q$4,IF(Entities!$AP$7:$AR$7=$M10,1,0),0),0))+IF($AA10+$M10&gt;17,0,OFFSET(E10,-$AA10,0))</f>
        <v>0</v>
      </c>
      <c r="R10" s="39">
        <f t="array" aca="1" ref="R10" ca="1">SUM(IF(Entities!$AI$7=1,IF(Entities!$AL$7:$AN$7=R$4,IF(Entities!$AP$7:$AR$7=$M10,1,0),0),0))+IF($AA10+$M10&gt;17,0,OFFSET(F10,-$AA10,0))</f>
        <v>0</v>
      </c>
      <c r="S10" s="39">
        <f t="array" aca="1" ref="S10" ca="1">SUM(IF(Entities!$AI$7=1,IF(Entities!$AL$7:$AN$7=S$4,IF(Entities!$AP$7:$AR$7=$M10,1,0),0),0))+IF($AA10+$M10&gt;17,0,OFFSET(G10,-$AA10,0))</f>
        <v>0</v>
      </c>
      <c r="T10" s="39">
        <f t="array" aca="1" ref="T10" ca="1">SUM(IF(Entities!$AI$7=1,IF(Entities!$AL$7:$AN$7=T$4,IF(Entities!$AP$7:$AR$7=$M10,1,0),0),0))+IF($AA10+$M10&gt;17,0,OFFSET(H10,-$AA10,0))</f>
        <v>1</v>
      </c>
      <c r="U10" s="39">
        <f t="array" aca="1" ref="U10" ca="1">SUM(IF(Entities!$AI$7=1,IF(Entities!$AL$7:$AN$7=U$4,IF(Entities!$AP$7:$AR$7=$M10,1,0),0),0))+IF($AA10+$M10&gt;17,0,OFFSET(I10,-$AA10,0))</f>
        <v>0</v>
      </c>
      <c r="V10" s="39">
        <f t="array" aca="1" ref="V10" ca="1">SUM(IF(Entities!$AI$7=1,IF(Entities!$AL$7:$AN$7=V$4,IF(Entities!$AP$7:$AR$7=$M10,1,0),0),0))+IF($AA10+$M10&gt;17,0,OFFSET(J10,-$AA10,0))</f>
        <v>0</v>
      </c>
      <c r="W10" s="49">
        <f t="array" aca="1" ref="W10" ca="1">SUM(IF(Entities!$AI$7=1,IF(Entities!$AL$7:$AN$7=W$4,IF(Entities!$AP$7:$AR$7=$M10,1,0),0),0))+IF($AA10+$M10&gt;17,0,OFFSET(K10,-$AA10,0))</f>
        <v>0</v>
      </c>
      <c r="X10" s="56">
        <f t="shared" si="3"/>
        <v>1</v>
      </c>
      <c r="Y10" s="52">
        <f t="shared" si="1"/>
        <v>0</v>
      </c>
      <c r="Z10" s="10">
        <f>Y17</f>
        <v>0</v>
      </c>
      <c r="AA10" s="10">
        <f t="shared" ca="1" si="2"/>
        <v>0</v>
      </c>
      <c r="AB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  <c r="BT10" s="10"/>
      <c r="BU10" s="10"/>
      <c r="BV10" s="10"/>
      <c r="BW10" s="10"/>
      <c r="BX10" s="10"/>
      <c r="BY10" s="10"/>
      <c r="BZ10" s="10"/>
      <c r="CA10" s="10"/>
      <c r="CB10" s="10"/>
      <c r="CC10" s="1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0"/>
      <c r="CP10" s="10"/>
      <c r="CQ10" s="10"/>
      <c r="CR10" s="10"/>
      <c r="CS10" s="10"/>
      <c r="CT10" s="10"/>
      <c r="CU10" s="10"/>
      <c r="CV10" s="10"/>
      <c r="CW10" s="10"/>
      <c r="CX10" s="10"/>
      <c r="CY10" s="10"/>
      <c r="CZ10" s="10"/>
      <c r="DA10" s="10"/>
      <c r="DB10" s="10"/>
      <c r="DC10" s="10"/>
      <c r="DD10" s="10"/>
      <c r="DE10" s="10"/>
      <c r="DF10" s="10"/>
      <c r="DG10" s="10"/>
      <c r="DH10" s="10"/>
      <c r="DI10" s="10"/>
      <c r="DJ10" s="10"/>
      <c r="DK10" s="10"/>
      <c r="DL10" s="10"/>
      <c r="DM10" s="10"/>
      <c r="DN10" s="10"/>
      <c r="DO10" s="10"/>
      <c r="DP10" s="10"/>
      <c r="DQ10" s="10"/>
      <c r="DR10" s="10"/>
      <c r="DS10" s="10"/>
      <c r="DT10" s="10"/>
      <c r="DU10" s="10"/>
      <c r="DV10" s="10"/>
      <c r="DW10" s="10"/>
      <c r="DX10" s="10"/>
      <c r="DY10" s="10"/>
      <c r="DZ10" s="10"/>
      <c r="EA10" s="10"/>
      <c r="EB10" s="10"/>
      <c r="EC10" s="10"/>
      <c r="ED10" s="10"/>
      <c r="EE10" s="10"/>
      <c r="EF10" s="10"/>
      <c r="EG10" s="10"/>
      <c r="EH10" s="10"/>
      <c r="EI10" s="10"/>
      <c r="EJ10" s="10"/>
      <c r="EK10" s="10"/>
      <c r="EL10" s="10"/>
      <c r="EM10" s="10"/>
      <c r="EN10" s="10"/>
      <c r="EO10" s="10"/>
      <c r="EP10" s="10"/>
      <c r="EQ10" s="10"/>
      <c r="ER10" s="10"/>
      <c r="ES10" s="10"/>
      <c r="ET10" s="10"/>
      <c r="EU10" s="10"/>
      <c r="EV10" s="10"/>
      <c r="EW10" s="10"/>
      <c r="EX10" s="10"/>
      <c r="EY10" s="10"/>
      <c r="EZ10" s="10"/>
      <c r="FA10" s="10"/>
      <c r="FB10" s="10"/>
      <c r="FC10" s="10"/>
      <c r="FD10" s="10"/>
      <c r="FE10" s="10"/>
    </row>
    <row r="11" spans="1:161" ht="27.75" customHeight="1" x14ac:dyDescent="0.25">
      <c r="A11">
        <v>11</v>
      </c>
      <c r="B11" s="39">
        <v>0</v>
      </c>
      <c r="C11" s="39">
        <v>0</v>
      </c>
      <c r="D11" s="39">
        <v>0</v>
      </c>
      <c r="E11" s="39">
        <v>0</v>
      </c>
      <c r="F11" s="39">
        <v>0</v>
      </c>
      <c r="G11" s="39">
        <v>1</v>
      </c>
      <c r="H11" s="39">
        <v>0</v>
      </c>
      <c r="I11" s="39">
        <v>0</v>
      </c>
      <c r="J11" s="39">
        <v>0</v>
      </c>
      <c r="K11" s="49">
        <v>0</v>
      </c>
      <c r="L11" s="10"/>
      <c r="M11">
        <v>11</v>
      </c>
      <c r="N11" s="39">
        <f t="array" aca="1" ref="N11" ca="1">SUM(IF(Entities!$AI$7=1,IF(Entities!$AL$7:$AN$7=N$4,IF(Entities!$AP$7:$AR$7=$M11,1,0),0),0))+IF($AA11+$M11&gt;17,0,OFFSET(B11,-$AA11,0))</f>
        <v>0</v>
      </c>
      <c r="O11" s="39">
        <f t="array" aca="1" ref="O11" ca="1">SUM(IF(Entities!$AI$7=1,IF(Entities!$AL$7:$AN$7=O$4,IF(Entities!$AP$7:$AR$7=$M11,1,0),0),0))+IF($AA11+$M11&gt;17,0,OFFSET(C11,-$AA11,0))</f>
        <v>0</v>
      </c>
      <c r="P11" s="39">
        <f t="array" aca="1" ref="P11" ca="1">SUM(IF(Entities!$AI$7=1,IF(Entities!$AL$7:$AN$7=P$4,IF(Entities!$AP$7:$AR$7=$M11,1,0),0),0))+IF($AA11+$M11&gt;17,0,OFFSET(D11,-$AA11,0))</f>
        <v>0</v>
      </c>
      <c r="Q11" s="39">
        <f t="array" aca="1" ref="Q11" ca="1">SUM(IF(Entities!$AI$7=1,IF(Entities!$AL$7:$AN$7=Q$4,IF(Entities!$AP$7:$AR$7=$M11,1,0),0),0))+IF($AA11+$M11&gt;17,0,OFFSET(E11,-$AA11,0))</f>
        <v>0</v>
      </c>
      <c r="R11" s="39">
        <f t="array" aca="1" ref="R11" ca="1">SUM(IF(Entities!$AI$7=1,IF(Entities!$AL$7:$AN$7=R$4,IF(Entities!$AP$7:$AR$7=$M11,1,0),0),0))+IF($AA11+$M11&gt;17,0,OFFSET(F11,-$AA11,0))</f>
        <v>0</v>
      </c>
      <c r="S11" s="39">
        <f t="array" aca="1" ref="S11" ca="1">SUM(IF(Entities!$AI$7=1,IF(Entities!$AL$7:$AN$7=S$4,IF(Entities!$AP$7:$AR$7=$M11,1,0),0),0))+IF($AA11+$M11&gt;17,0,OFFSET(G11,-$AA11,0))</f>
        <v>1</v>
      </c>
      <c r="T11" s="39">
        <f t="array" aca="1" ref="T11" ca="1">SUM(IF(Entities!$AI$7=1,IF(Entities!$AL$7:$AN$7=T$4,IF(Entities!$AP$7:$AR$7=$M11,1,0),0),0))+IF($AA11+$M11&gt;17,0,OFFSET(H11,-$AA11,0))</f>
        <v>0</v>
      </c>
      <c r="U11" s="39">
        <f t="array" aca="1" ref="U11" ca="1">SUM(IF(Entities!$AI$7=1,IF(Entities!$AL$7:$AN$7=U$4,IF(Entities!$AP$7:$AR$7=$M11,1,0),0),0))+IF($AA11+$M11&gt;17,0,OFFSET(I11,-$AA11,0))</f>
        <v>0</v>
      </c>
      <c r="V11" s="39">
        <f t="array" aca="1" ref="V11" ca="1">SUM(IF(Entities!$AI$7=1,IF(Entities!$AL$7:$AN$7=V$4,IF(Entities!$AP$7:$AR$7=$M11,1,0),0),0))+IF($AA11+$M11&gt;17,0,OFFSET(J11,-$AA11,0))</f>
        <v>0</v>
      </c>
      <c r="W11" s="49">
        <f t="array" aca="1" ref="W11" ca="1">SUM(IF(Entities!$AI$7=1,IF(Entities!$AL$7:$AN$7=W$4,IF(Entities!$AP$7:$AR$7=$M11,1,0),0),0))+IF($AA11+$M11&gt;17,0,OFFSET(K11,-$AA11,0))</f>
        <v>0</v>
      </c>
      <c r="X11" s="56">
        <f t="shared" si="3"/>
        <v>1</v>
      </c>
      <c r="Y11" s="52">
        <f t="shared" si="1"/>
        <v>0</v>
      </c>
      <c r="Z11" s="10">
        <f>Y16</f>
        <v>0</v>
      </c>
      <c r="AA11" s="10">
        <f t="shared" ca="1" si="2"/>
        <v>0</v>
      </c>
      <c r="AB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10"/>
      <c r="EZ11" s="10"/>
      <c r="FA11" s="10"/>
      <c r="FB11" s="10"/>
      <c r="FC11" s="10"/>
      <c r="FD11" s="10"/>
      <c r="FE11" s="10"/>
    </row>
    <row r="12" spans="1:161" ht="27.75" customHeight="1" x14ac:dyDescent="0.25">
      <c r="A12">
        <v>10</v>
      </c>
      <c r="B12" s="39">
        <v>0</v>
      </c>
      <c r="C12" s="39">
        <v>0</v>
      </c>
      <c r="D12" s="39">
        <v>0</v>
      </c>
      <c r="E12" s="39">
        <v>0</v>
      </c>
      <c r="F12" s="39">
        <v>1</v>
      </c>
      <c r="G12" s="39">
        <v>1</v>
      </c>
      <c r="H12" s="39">
        <v>0</v>
      </c>
      <c r="I12" s="39">
        <v>0</v>
      </c>
      <c r="J12" s="39">
        <v>0</v>
      </c>
      <c r="K12" s="49">
        <v>0</v>
      </c>
      <c r="L12" s="10"/>
      <c r="M12">
        <v>10</v>
      </c>
      <c r="N12" s="39">
        <f t="array" aca="1" ref="N12" ca="1">SUM(IF(Entities!$AI$7=1,IF(Entities!$AL$7:$AN$7=N$4,IF(Entities!$AP$7:$AR$7=$M12,1,0),0),0))+IF($AA12+$M12&gt;17,0,OFFSET(B12,-$AA12,0))</f>
        <v>0</v>
      </c>
      <c r="O12" s="39">
        <f t="array" aca="1" ref="O12" ca="1">SUM(IF(Entities!$AI$7=1,IF(Entities!$AL$7:$AN$7=O$4,IF(Entities!$AP$7:$AR$7=$M12,1,0),0),0))+IF($AA12+$M12&gt;17,0,OFFSET(C12,-$AA12,0))</f>
        <v>0</v>
      </c>
      <c r="P12" s="39">
        <f t="array" aca="1" ref="P12" ca="1">SUM(IF(Entities!$AI$7=1,IF(Entities!$AL$7:$AN$7=P$4,IF(Entities!$AP$7:$AR$7=$M12,1,0),0),0))+IF($AA12+$M12&gt;17,0,OFFSET(D12,-$AA12,0))</f>
        <v>0</v>
      </c>
      <c r="Q12" s="39">
        <f t="array" aca="1" ref="Q12" ca="1">SUM(IF(Entities!$AI$7=1,IF(Entities!$AL$7:$AN$7=Q$4,IF(Entities!$AP$7:$AR$7=$M12,1,0),0),0))+IF($AA12+$M12&gt;17,0,OFFSET(E12,-$AA12,0))</f>
        <v>0</v>
      </c>
      <c r="R12" s="39">
        <f t="array" aca="1" ref="R12" ca="1">SUM(IF(Entities!$AI$7=1,IF(Entities!$AL$7:$AN$7=R$4,IF(Entities!$AP$7:$AR$7=$M12,1,0),0),0))+IF($AA12+$M12&gt;17,0,OFFSET(F12,-$AA12,0))</f>
        <v>1</v>
      </c>
      <c r="S12" s="39">
        <f t="array" aca="1" ref="S12" ca="1">SUM(IF(Entities!$AI$7=1,IF(Entities!$AL$7:$AN$7=S$4,IF(Entities!$AP$7:$AR$7=$M12,1,0),0),0))+IF($AA12+$M12&gt;17,0,OFFSET(G12,-$AA12,0))</f>
        <v>1</v>
      </c>
      <c r="T12" s="39">
        <f t="array" aca="1" ref="T12" ca="1">SUM(IF(Entities!$AI$7=1,IF(Entities!$AL$7:$AN$7=T$4,IF(Entities!$AP$7:$AR$7=$M12,1,0),0),0))+IF($AA12+$M12&gt;17,0,OFFSET(H12,-$AA12,0))</f>
        <v>0</v>
      </c>
      <c r="U12" s="39">
        <f t="array" aca="1" ref="U12" ca="1">SUM(IF(Entities!$AI$7=1,IF(Entities!$AL$7:$AN$7=U$4,IF(Entities!$AP$7:$AR$7=$M12,1,0),0),0))+IF($AA12+$M12&gt;17,0,OFFSET(I12,-$AA12,0))</f>
        <v>0</v>
      </c>
      <c r="V12" s="39">
        <f t="array" aca="1" ref="V12" ca="1">SUM(IF(Entities!$AI$7=1,IF(Entities!$AL$7:$AN$7=V$4,IF(Entities!$AP$7:$AR$7=$M12,1,0),0),0))+IF($AA12+$M12&gt;17,0,OFFSET(J12,-$AA12,0))</f>
        <v>0</v>
      </c>
      <c r="W12" s="49">
        <f t="array" aca="1" ref="W12" ca="1">SUM(IF(Entities!$AI$7=1,IF(Entities!$AL$7:$AN$7=W$4,IF(Entities!$AP$7:$AR$7=$M12,1,0),0),0))+IF($AA12+$M12&gt;17,0,OFFSET(K12,-$AA12,0))</f>
        <v>0</v>
      </c>
      <c r="X12" s="56">
        <f t="shared" si="3"/>
        <v>2</v>
      </c>
      <c r="Y12" s="52">
        <f t="shared" si="1"/>
        <v>0</v>
      </c>
      <c r="Z12" s="10">
        <f>Y15</f>
        <v>0</v>
      </c>
      <c r="AA12" s="10">
        <f t="shared" ca="1" si="2"/>
        <v>0</v>
      </c>
      <c r="AB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  <c r="BT12" s="10"/>
      <c r="BU12" s="10"/>
      <c r="BV12" s="10"/>
      <c r="BW12" s="10"/>
      <c r="BX12" s="10"/>
      <c r="BY12" s="10"/>
      <c r="BZ12" s="10"/>
      <c r="CA12" s="10"/>
      <c r="CB12" s="10"/>
      <c r="CC12" s="10"/>
      <c r="CD12" s="10"/>
      <c r="CE12" s="10"/>
      <c r="CF12" s="10"/>
      <c r="CG12" s="10"/>
      <c r="CH12" s="10"/>
      <c r="CI12" s="10"/>
      <c r="CJ12" s="10"/>
      <c r="CK12" s="10"/>
      <c r="CL12" s="10"/>
      <c r="CM12" s="10"/>
      <c r="CN12" s="10"/>
      <c r="CO12" s="10"/>
      <c r="CP12" s="10"/>
      <c r="CQ12" s="10"/>
      <c r="CR12" s="10"/>
      <c r="CS12" s="10"/>
      <c r="CT12" s="10"/>
      <c r="CU12" s="10"/>
      <c r="CV12" s="10"/>
      <c r="CW12" s="10"/>
      <c r="CX12" s="10"/>
      <c r="CY12" s="10"/>
      <c r="CZ12" s="10"/>
      <c r="DA12" s="10"/>
      <c r="DB12" s="10"/>
      <c r="DC12" s="10"/>
      <c r="DD12" s="10"/>
      <c r="DE12" s="10"/>
      <c r="DF12" s="10"/>
      <c r="DG12" s="10"/>
      <c r="DH12" s="10"/>
      <c r="DI12" s="10"/>
      <c r="DJ12" s="10"/>
      <c r="DK12" s="10"/>
      <c r="DL12" s="10"/>
      <c r="DM12" s="10"/>
      <c r="DN12" s="10"/>
      <c r="DO12" s="10"/>
      <c r="DP12" s="10"/>
      <c r="DQ12" s="10"/>
      <c r="DR12" s="10"/>
      <c r="DS12" s="10"/>
      <c r="DT12" s="10"/>
      <c r="DU12" s="10"/>
      <c r="DV12" s="10"/>
      <c r="DW12" s="10"/>
      <c r="DX12" s="10"/>
      <c r="DY12" s="10"/>
      <c r="DZ12" s="10"/>
      <c r="EA12" s="10"/>
      <c r="EB12" s="10"/>
      <c r="EC12" s="10"/>
      <c r="ED12" s="10"/>
      <c r="EE12" s="10"/>
      <c r="EF12" s="10"/>
      <c r="EG12" s="10"/>
      <c r="EH12" s="10"/>
      <c r="EI12" s="10"/>
      <c r="EJ12" s="10"/>
      <c r="EK12" s="10"/>
      <c r="EL12" s="10"/>
      <c r="EM12" s="10"/>
      <c r="EN12" s="10"/>
      <c r="EO12" s="10"/>
      <c r="EP12" s="10"/>
      <c r="EQ12" s="10"/>
      <c r="ER12" s="10"/>
      <c r="ES12" s="10"/>
      <c r="ET12" s="10"/>
      <c r="EU12" s="10"/>
      <c r="EV12" s="10"/>
      <c r="EW12" s="10"/>
      <c r="EX12" s="10"/>
      <c r="EY12" s="10"/>
      <c r="EZ12" s="10"/>
      <c r="FA12" s="10"/>
      <c r="FB12" s="10"/>
      <c r="FC12" s="10"/>
      <c r="FD12" s="10"/>
      <c r="FE12" s="10"/>
    </row>
    <row r="13" spans="1:161" ht="27.75" customHeight="1" x14ac:dyDescent="0.25">
      <c r="A13">
        <v>9</v>
      </c>
      <c r="B13" s="39">
        <v>0</v>
      </c>
      <c r="C13" s="39">
        <v>0</v>
      </c>
      <c r="D13" s="39">
        <v>0</v>
      </c>
      <c r="E13" s="39">
        <v>0</v>
      </c>
      <c r="F13" s="39">
        <v>0</v>
      </c>
      <c r="G13" s="39">
        <v>1</v>
      </c>
      <c r="H13" s="39">
        <v>0</v>
      </c>
      <c r="I13" s="39">
        <v>0</v>
      </c>
      <c r="J13" s="39">
        <v>0</v>
      </c>
      <c r="K13" s="49">
        <v>0</v>
      </c>
      <c r="L13" s="10"/>
      <c r="M13">
        <v>9</v>
      </c>
      <c r="N13" s="39">
        <f t="array" aca="1" ref="N13" ca="1">SUM(IF(Entities!$AI$7=1,IF(Entities!$AL$7:$AN$7=N$4,IF(Entities!$AP$7:$AR$7=$M13,1,0),0),0))+IF($AA13+$M13&gt;17,0,OFFSET(B13,-$AA13,0))</f>
        <v>0</v>
      </c>
      <c r="O13" s="39">
        <f t="array" aca="1" ref="O13" ca="1">SUM(IF(Entities!$AI$7=1,IF(Entities!$AL$7:$AN$7=O$4,IF(Entities!$AP$7:$AR$7=$M13,1,0),0),0))+IF($AA13+$M13&gt;17,0,OFFSET(C13,-$AA13,0))</f>
        <v>0</v>
      </c>
      <c r="P13" s="39">
        <f t="array" aca="1" ref="P13" ca="1">SUM(IF(Entities!$AI$7=1,IF(Entities!$AL$7:$AN$7=P$4,IF(Entities!$AP$7:$AR$7=$M13,1,0),0),0))+IF($AA13+$M13&gt;17,0,OFFSET(D13,-$AA13,0))</f>
        <v>0</v>
      </c>
      <c r="Q13" s="39">
        <f t="array" aca="1" ref="Q13" ca="1">SUM(IF(Entities!$AI$7=1,IF(Entities!$AL$7:$AN$7=Q$4,IF(Entities!$AP$7:$AR$7=$M13,1,0),0),0))+IF($AA13+$M13&gt;17,0,OFFSET(E13,-$AA13,0))</f>
        <v>0</v>
      </c>
      <c r="R13" s="39">
        <f t="array" aca="1" ref="R13" ca="1">SUM(IF(Entities!$AI$7=1,IF(Entities!$AL$7:$AN$7=R$4,IF(Entities!$AP$7:$AR$7=$M13,1,0),0),0))+IF($AA13+$M13&gt;17,0,OFFSET(F13,-$AA13,0))</f>
        <v>0</v>
      </c>
      <c r="S13" s="39">
        <f t="array" aca="1" ref="S13" ca="1">SUM(IF(Entities!$AI$7=1,IF(Entities!$AL$7:$AN$7=S$4,IF(Entities!$AP$7:$AR$7=$M13,1,0),0),0))+IF($AA13+$M13&gt;17,0,OFFSET(G13,-$AA13,0))</f>
        <v>1</v>
      </c>
      <c r="T13" s="39">
        <f t="array" aca="1" ref="T13" ca="1">SUM(IF(Entities!$AI$7=1,IF(Entities!$AL$7:$AN$7=T$4,IF(Entities!$AP$7:$AR$7=$M13,1,0),0),0))+IF($AA13+$M13&gt;17,0,OFFSET(H13,-$AA13,0))</f>
        <v>0</v>
      </c>
      <c r="U13" s="39">
        <f t="array" aca="1" ref="U13" ca="1">SUM(IF(Entities!$AI$7=1,IF(Entities!$AL$7:$AN$7=U$4,IF(Entities!$AP$7:$AR$7=$M13,1,0),0),0))+IF($AA13+$M13&gt;17,0,OFFSET(I13,-$AA13,0))</f>
        <v>0</v>
      </c>
      <c r="V13" s="39">
        <f t="array" aca="1" ref="V13" ca="1">SUM(IF(Entities!$AI$7=1,IF(Entities!$AL$7:$AN$7=V$4,IF(Entities!$AP$7:$AR$7=$M13,1,0),0),0))+IF($AA13+$M13&gt;17,0,OFFSET(J13,-$AA13,0))</f>
        <v>0</v>
      </c>
      <c r="W13" s="49">
        <f t="array" aca="1" ref="W13" ca="1">SUM(IF(Entities!$AI$7=1,IF(Entities!$AL$7:$AN$7=W$4,IF(Entities!$AP$7:$AR$7=$M13,1,0),0),0))+IF($AA13+$M13&gt;17,0,OFFSET(K13,-$AA13,0))</f>
        <v>0</v>
      </c>
      <c r="X13" s="56">
        <f t="shared" si="3"/>
        <v>1</v>
      </c>
      <c r="Y13" s="52">
        <f t="shared" si="1"/>
        <v>0</v>
      </c>
      <c r="Z13" s="10">
        <f>Y14</f>
        <v>0</v>
      </c>
      <c r="AA13" s="10">
        <f t="shared" ca="1" si="2"/>
        <v>0</v>
      </c>
      <c r="AB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10"/>
      <c r="CU13" s="10"/>
      <c r="CV13" s="10"/>
      <c r="CW13" s="10"/>
      <c r="CX13" s="10"/>
      <c r="CY13" s="10"/>
      <c r="CZ13" s="10"/>
      <c r="DA13" s="10"/>
      <c r="DB13" s="10"/>
      <c r="DC13" s="10"/>
      <c r="DD13" s="10"/>
      <c r="DE13" s="10"/>
      <c r="DF13" s="10"/>
      <c r="DG13" s="10"/>
      <c r="DH13" s="10"/>
      <c r="DI13" s="10"/>
      <c r="DJ13" s="10"/>
      <c r="DK13" s="10"/>
      <c r="DL13" s="10"/>
      <c r="DM13" s="10"/>
      <c r="DN13" s="10"/>
      <c r="DO13" s="10"/>
      <c r="DP13" s="10"/>
      <c r="DQ13" s="10"/>
      <c r="DR13" s="10"/>
      <c r="DS13" s="10"/>
      <c r="DT13" s="10"/>
      <c r="DU13" s="10"/>
      <c r="DV13" s="10"/>
      <c r="DW13" s="10"/>
      <c r="DX13" s="10"/>
      <c r="DY13" s="10"/>
      <c r="DZ13" s="10"/>
      <c r="EA13" s="10"/>
      <c r="EB13" s="10"/>
      <c r="EC13" s="10"/>
      <c r="ED13" s="10"/>
      <c r="EE13" s="10"/>
      <c r="EF13" s="10"/>
      <c r="EG13" s="10"/>
      <c r="EH13" s="10"/>
      <c r="EI13" s="10"/>
      <c r="EJ13" s="10"/>
      <c r="EK13" s="10"/>
      <c r="EL13" s="10"/>
      <c r="EM13" s="10"/>
      <c r="EN13" s="10"/>
      <c r="EO13" s="10"/>
      <c r="EP13" s="10"/>
      <c r="EQ13" s="10"/>
      <c r="ER13" s="10"/>
      <c r="ES13" s="10"/>
      <c r="ET13" s="10"/>
      <c r="EU13" s="10"/>
      <c r="EV13" s="10"/>
      <c r="EW13" s="10"/>
      <c r="EX13" s="10"/>
      <c r="EY13" s="10"/>
      <c r="EZ13" s="10"/>
      <c r="FA13" s="10"/>
      <c r="FB13" s="10"/>
      <c r="FC13" s="10"/>
      <c r="FD13" s="10"/>
      <c r="FE13" s="10"/>
    </row>
    <row r="14" spans="1:161" ht="27.75" customHeight="1" x14ac:dyDescent="0.25">
      <c r="A14">
        <v>8</v>
      </c>
      <c r="B14" s="39">
        <v>0</v>
      </c>
      <c r="C14" s="39">
        <v>0</v>
      </c>
      <c r="D14" s="39">
        <v>0</v>
      </c>
      <c r="E14" s="39">
        <v>0</v>
      </c>
      <c r="F14" s="39">
        <v>1</v>
      </c>
      <c r="G14" s="39">
        <v>1</v>
      </c>
      <c r="H14" s="39">
        <v>0</v>
      </c>
      <c r="I14" s="39">
        <v>0</v>
      </c>
      <c r="J14" s="39">
        <v>0</v>
      </c>
      <c r="K14" s="49">
        <v>0</v>
      </c>
      <c r="L14" s="10"/>
      <c r="M14">
        <v>8</v>
      </c>
      <c r="N14" s="39">
        <f t="array" aca="1" ref="N14" ca="1">SUM(IF(Entities!$AI$7=1,IF(Entities!$AL$7:$AN$7=N$4,IF(Entities!$AP$7:$AR$7=$M14,1,0),0),0))+IF($AA14+$M14&gt;17,0,OFFSET(B14,-$AA14,0))</f>
        <v>0</v>
      </c>
      <c r="O14" s="39">
        <f t="array" aca="1" ref="O14" ca="1">SUM(IF(Entities!$AI$7=1,IF(Entities!$AL$7:$AN$7=O$4,IF(Entities!$AP$7:$AR$7=$M14,1,0),0),0))+IF($AA14+$M14&gt;17,0,OFFSET(C14,-$AA14,0))</f>
        <v>0</v>
      </c>
      <c r="P14" s="39">
        <f t="array" aca="1" ref="P14" ca="1">SUM(IF(Entities!$AI$7=1,IF(Entities!$AL$7:$AN$7=P$4,IF(Entities!$AP$7:$AR$7=$M14,1,0),0),0))+IF($AA14+$M14&gt;17,0,OFFSET(D14,-$AA14,0))</f>
        <v>0</v>
      </c>
      <c r="Q14" s="39">
        <f t="array" aca="1" ref="Q14" ca="1">SUM(IF(Entities!$AI$7=1,IF(Entities!$AL$7:$AN$7=Q$4,IF(Entities!$AP$7:$AR$7=$M14,1,0),0),0))+IF($AA14+$M14&gt;17,0,OFFSET(E14,-$AA14,0))</f>
        <v>0</v>
      </c>
      <c r="R14" s="39">
        <f t="array" aca="1" ref="R14" ca="1">SUM(IF(Entities!$AI$7=1,IF(Entities!$AL$7:$AN$7=R$4,IF(Entities!$AP$7:$AR$7=$M14,1,0),0),0))+IF($AA14+$M14&gt;17,0,OFFSET(F14,-$AA14,0))</f>
        <v>1</v>
      </c>
      <c r="S14" s="39">
        <f t="array" aca="1" ref="S14" ca="1">SUM(IF(Entities!$AI$7=1,IF(Entities!$AL$7:$AN$7=S$4,IF(Entities!$AP$7:$AR$7=$M14,1,0),0),0))+IF($AA14+$M14&gt;17,0,OFFSET(G14,-$AA14,0))</f>
        <v>1</v>
      </c>
      <c r="T14" s="39">
        <f t="array" aca="1" ref="T14" ca="1">SUM(IF(Entities!$AI$7=1,IF(Entities!$AL$7:$AN$7=T$4,IF(Entities!$AP$7:$AR$7=$M14,1,0),0),0))+IF($AA14+$M14&gt;17,0,OFFSET(H14,-$AA14,0))</f>
        <v>0</v>
      </c>
      <c r="U14" s="39">
        <f t="array" aca="1" ref="U14" ca="1">SUM(IF(Entities!$AI$7=1,IF(Entities!$AL$7:$AN$7=U$4,IF(Entities!$AP$7:$AR$7=$M14,1,0),0),0))+IF($AA14+$M14&gt;17,0,OFFSET(I14,-$AA14,0))</f>
        <v>0</v>
      </c>
      <c r="V14" s="39">
        <f t="array" aca="1" ref="V14" ca="1">SUM(IF(Entities!$AI$7=1,IF(Entities!$AL$7:$AN$7=V$4,IF(Entities!$AP$7:$AR$7=$M14,1,0),0),0))+IF($AA14+$M14&gt;17,0,OFFSET(J14,-$AA14,0))</f>
        <v>0</v>
      </c>
      <c r="W14" s="49">
        <f t="array" aca="1" ref="W14" ca="1">SUM(IF(Entities!$AI$7=1,IF(Entities!$AL$7:$AN$7=W$4,IF(Entities!$AP$7:$AR$7=$M14,1,0),0),0))+IF($AA14+$M14&gt;17,0,OFFSET(K14,-$AA14,0))</f>
        <v>0</v>
      </c>
      <c r="X14" s="56">
        <f t="shared" si="3"/>
        <v>2</v>
      </c>
      <c r="Y14" s="52">
        <f t="shared" si="1"/>
        <v>0</v>
      </c>
      <c r="Z14" s="10">
        <f>Y13</f>
        <v>0</v>
      </c>
      <c r="AA14" s="10">
        <f t="shared" ca="1" si="2"/>
        <v>0</v>
      </c>
      <c r="AB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  <c r="BT14" s="10"/>
      <c r="BU14" s="10"/>
      <c r="BV14" s="10"/>
      <c r="BW14" s="10"/>
      <c r="BX14" s="10"/>
      <c r="BY14" s="10"/>
      <c r="BZ14" s="10"/>
      <c r="CA14" s="10"/>
      <c r="CB14" s="10"/>
      <c r="CC14" s="10"/>
      <c r="CD14" s="10"/>
      <c r="CE14" s="10"/>
      <c r="CF14" s="10"/>
      <c r="CG14" s="10"/>
      <c r="CH14" s="10"/>
      <c r="CI14" s="10"/>
      <c r="CJ14" s="10"/>
      <c r="CK14" s="10"/>
      <c r="CL14" s="10"/>
      <c r="CM14" s="10"/>
      <c r="CN14" s="10"/>
      <c r="CO14" s="10"/>
      <c r="CP14" s="10"/>
      <c r="CQ14" s="10"/>
      <c r="CR14" s="10"/>
      <c r="CS14" s="10"/>
      <c r="CT14" s="10"/>
      <c r="CU14" s="10"/>
      <c r="CV14" s="10"/>
      <c r="CW14" s="10"/>
      <c r="CX14" s="10"/>
      <c r="CY14" s="10"/>
      <c r="CZ14" s="10"/>
      <c r="DA14" s="10"/>
      <c r="DB14" s="10"/>
      <c r="DC14" s="10"/>
      <c r="DD14" s="10"/>
      <c r="DE14" s="10"/>
      <c r="DF14" s="10"/>
      <c r="DG14" s="10"/>
      <c r="DH14" s="10"/>
      <c r="DI14" s="10"/>
      <c r="DJ14" s="10"/>
      <c r="DK14" s="10"/>
      <c r="DL14" s="10"/>
      <c r="DM14" s="10"/>
      <c r="DN14" s="10"/>
      <c r="DO14" s="10"/>
      <c r="DP14" s="10"/>
      <c r="DQ14" s="10"/>
      <c r="DR14" s="10"/>
      <c r="DS14" s="10"/>
      <c r="DT14" s="10"/>
      <c r="DU14" s="10"/>
      <c r="DV14" s="10"/>
      <c r="DW14" s="10"/>
      <c r="DX14" s="10"/>
      <c r="DY14" s="10"/>
      <c r="DZ14" s="10"/>
      <c r="EA14" s="10"/>
      <c r="EB14" s="10"/>
      <c r="EC14" s="10"/>
      <c r="ED14" s="10"/>
      <c r="EE14" s="10"/>
      <c r="EF14" s="10"/>
      <c r="EG14" s="10"/>
      <c r="EH14" s="10"/>
      <c r="EI14" s="10"/>
      <c r="EJ14" s="10"/>
      <c r="EK14" s="10"/>
      <c r="EL14" s="10"/>
      <c r="EM14" s="10"/>
      <c r="EN14" s="10"/>
      <c r="EO14" s="10"/>
      <c r="EP14" s="10"/>
      <c r="EQ14" s="10"/>
      <c r="ER14" s="10"/>
      <c r="ES14" s="10"/>
      <c r="ET14" s="10"/>
      <c r="EU14" s="10"/>
      <c r="EV14" s="10"/>
      <c r="EW14" s="10"/>
      <c r="EX14" s="10"/>
      <c r="EY14" s="10"/>
      <c r="EZ14" s="10"/>
      <c r="FA14" s="10"/>
      <c r="FB14" s="10"/>
      <c r="FC14" s="10"/>
      <c r="FD14" s="10"/>
      <c r="FE14" s="10"/>
    </row>
    <row r="15" spans="1:161" ht="27.75" customHeight="1" x14ac:dyDescent="0.25">
      <c r="A15">
        <v>7</v>
      </c>
      <c r="B15" s="39">
        <v>0</v>
      </c>
      <c r="C15" s="39">
        <v>0</v>
      </c>
      <c r="D15" s="39">
        <v>0</v>
      </c>
      <c r="E15" s="39">
        <v>0</v>
      </c>
      <c r="F15" s="39">
        <v>0</v>
      </c>
      <c r="G15" s="39">
        <v>1</v>
      </c>
      <c r="H15" s="39">
        <v>0</v>
      </c>
      <c r="I15" s="39">
        <v>0</v>
      </c>
      <c r="J15" s="39">
        <v>0</v>
      </c>
      <c r="K15" s="49">
        <v>0</v>
      </c>
      <c r="L15" s="10"/>
      <c r="M15">
        <v>7</v>
      </c>
      <c r="N15" s="39">
        <f t="array" aca="1" ref="N15" ca="1">SUM(IF(Entities!$AI$7=1,IF(Entities!$AL$7:$AN$7=N$4,IF(Entities!$AP$7:$AR$7=$M15,1,0),0),0))+IF($AA15+$M15&gt;17,0,OFFSET(B15,-$AA15,0))</f>
        <v>0</v>
      </c>
      <c r="O15" s="39">
        <f t="array" aca="1" ref="O15" ca="1">SUM(IF(Entities!$AI$7=1,IF(Entities!$AL$7:$AN$7=O$4,IF(Entities!$AP$7:$AR$7=$M15,1,0),0),0))+IF($AA15+$M15&gt;17,0,OFFSET(C15,-$AA15,0))</f>
        <v>0</v>
      </c>
      <c r="P15" s="39">
        <f t="array" aca="1" ref="P15" ca="1">SUM(IF(Entities!$AI$7=1,IF(Entities!$AL$7:$AN$7=P$4,IF(Entities!$AP$7:$AR$7=$M15,1,0),0),0))+IF($AA15+$M15&gt;17,0,OFFSET(D15,-$AA15,0))</f>
        <v>0</v>
      </c>
      <c r="Q15" s="39">
        <f t="array" aca="1" ref="Q15" ca="1">SUM(IF(Entities!$AI$7=1,IF(Entities!$AL$7:$AN$7=Q$4,IF(Entities!$AP$7:$AR$7=$M15,1,0),0),0))+IF($AA15+$M15&gt;17,0,OFFSET(E15,-$AA15,0))</f>
        <v>0</v>
      </c>
      <c r="R15" s="39">
        <f t="array" aca="1" ref="R15" ca="1">SUM(IF(Entities!$AI$7=1,IF(Entities!$AL$7:$AN$7=R$4,IF(Entities!$AP$7:$AR$7=$M15,1,0),0),0))+IF($AA15+$M15&gt;17,0,OFFSET(F15,-$AA15,0))</f>
        <v>0</v>
      </c>
      <c r="S15" s="39">
        <f t="array" aca="1" ref="S15" ca="1">SUM(IF(Entities!$AI$7=1,IF(Entities!$AL$7:$AN$7=S$4,IF(Entities!$AP$7:$AR$7=$M15,1,0),0),0))+IF($AA15+$M15&gt;17,0,OFFSET(G15,-$AA15,0))</f>
        <v>1</v>
      </c>
      <c r="T15" s="39">
        <f t="array" aca="1" ref="T15" ca="1">SUM(IF(Entities!$AI$7=1,IF(Entities!$AL$7:$AN$7=T$4,IF(Entities!$AP$7:$AR$7=$M15,1,0),0),0))+IF($AA15+$M15&gt;17,0,OFFSET(H15,-$AA15,0))</f>
        <v>0</v>
      </c>
      <c r="U15" s="39">
        <f t="array" aca="1" ref="U15" ca="1">SUM(IF(Entities!$AI$7=1,IF(Entities!$AL$7:$AN$7=U$4,IF(Entities!$AP$7:$AR$7=$M15,1,0),0),0))+IF($AA15+$M15&gt;17,0,OFFSET(I15,-$AA15,0))</f>
        <v>0</v>
      </c>
      <c r="V15" s="39">
        <f t="array" aca="1" ref="V15" ca="1">SUM(IF(Entities!$AI$7=1,IF(Entities!$AL$7:$AN$7=V$4,IF(Entities!$AP$7:$AR$7=$M15,1,0),0),0))+IF($AA15+$M15&gt;17,0,OFFSET(J15,-$AA15,0))</f>
        <v>0</v>
      </c>
      <c r="W15" s="49">
        <f t="array" aca="1" ref="W15" ca="1">SUM(IF(Entities!$AI$7=1,IF(Entities!$AL$7:$AN$7=W$4,IF(Entities!$AP$7:$AR$7=$M15,1,0),0),0))+IF($AA15+$M15&gt;17,0,OFFSET(K15,-$AA15,0))</f>
        <v>0</v>
      </c>
      <c r="X15" s="56">
        <f t="shared" si="3"/>
        <v>1</v>
      </c>
      <c r="Y15" s="52">
        <f t="shared" si="1"/>
        <v>0</v>
      </c>
      <c r="Z15" s="10">
        <f>Y12</f>
        <v>0</v>
      </c>
      <c r="AA15" s="10">
        <f t="shared" ca="1" si="2"/>
        <v>0</v>
      </c>
      <c r="AB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  <c r="BT15" s="10"/>
      <c r="BU15" s="10"/>
      <c r="BV15" s="10"/>
      <c r="BW15" s="10"/>
      <c r="BX15" s="10"/>
      <c r="BY15" s="10"/>
      <c r="BZ15" s="10"/>
      <c r="CA15" s="10"/>
      <c r="CB15" s="10"/>
      <c r="CC15" s="10"/>
      <c r="CD15" s="10"/>
      <c r="CE15" s="10"/>
      <c r="CF15" s="10"/>
      <c r="CG15" s="10"/>
      <c r="CH15" s="10"/>
      <c r="CI15" s="10"/>
      <c r="CJ15" s="10"/>
      <c r="CK15" s="10"/>
      <c r="CL15" s="10"/>
      <c r="CM15" s="10"/>
      <c r="CN15" s="10"/>
      <c r="CO15" s="10"/>
      <c r="CP15" s="10"/>
      <c r="CQ15" s="10"/>
      <c r="CR15" s="10"/>
      <c r="CS15" s="10"/>
      <c r="CT15" s="10"/>
      <c r="CU15" s="10"/>
      <c r="CV15" s="10"/>
      <c r="CW15" s="10"/>
      <c r="CX15" s="10"/>
      <c r="CY15" s="10"/>
      <c r="CZ15" s="10"/>
      <c r="DA15" s="10"/>
      <c r="DB15" s="10"/>
      <c r="DC15" s="10"/>
      <c r="DD15" s="10"/>
      <c r="DE15" s="10"/>
      <c r="DF15" s="10"/>
      <c r="DG15" s="10"/>
      <c r="DH15" s="10"/>
      <c r="DI15" s="10"/>
      <c r="DJ15" s="10"/>
      <c r="DK15" s="10"/>
      <c r="DL15" s="10"/>
      <c r="DM15" s="10"/>
      <c r="DN15" s="10"/>
      <c r="DO15" s="10"/>
      <c r="DP15" s="10"/>
      <c r="DQ15" s="10"/>
      <c r="DR15" s="10"/>
      <c r="DS15" s="10"/>
      <c r="DT15" s="10"/>
      <c r="DU15" s="10"/>
      <c r="DV15" s="10"/>
      <c r="DW15" s="10"/>
      <c r="DX15" s="10"/>
      <c r="DY15" s="10"/>
      <c r="DZ15" s="10"/>
      <c r="EA15" s="10"/>
      <c r="EB15" s="10"/>
      <c r="EC15" s="10"/>
      <c r="ED15" s="10"/>
      <c r="EE15" s="10"/>
      <c r="EF15" s="10"/>
      <c r="EG15" s="10"/>
      <c r="EH15" s="10"/>
      <c r="EI15" s="10"/>
      <c r="EJ15" s="10"/>
      <c r="EK15" s="10"/>
      <c r="EL15" s="10"/>
      <c r="EM15" s="10"/>
      <c r="EN15" s="10"/>
      <c r="EO15" s="10"/>
      <c r="EP15" s="10"/>
      <c r="EQ15" s="10"/>
      <c r="ER15" s="10"/>
      <c r="ES15" s="10"/>
      <c r="ET15" s="10"/>
      <c r="EU15" s="10"/>
      <c r="EV15" s="10"/>
      <c r="EW15" s="10"/>
      <c r="EX15" s="10"/>
      <c r="EY15" s="10"/>
      <c r="EZ15" s="10"/>
      <c r="FA15" s="10"/>
      <c r="FB15" s="10"/>
      <c r="FC15" s="10"/>
      <c r="FD15" s="10"/>
      <c r="FE15" s="10"/>
    </row>
    <row r="16" spans="1:161" ht="27.75" customHeight="1" x14ac:dyDescent="0.25">
      <c r="A16">
        <v>6</v>
      </c>
      <c r="B16" s="39">
        <v>0</v>
      </c>
      <c r="C16" s="39">
        <v>0</v>
      </c>
      <c r="D16" s="39">
        <v>0</v>
      </c>
      <c r="E16" s="39">
        <v>0</v>
      </c>
      <c r="F16" s="39">
        <v>0</v>
      </c>
      <c r="G16" s="39">
        <v>0</v>
      </c>
      <c r="H16" s="39">
        <v>1</v>
      </c>
      <c r="I16" s="39">
        <v>0</v>
      </c>
      <c r="J16" s="39">
        <v>0</v>
      </c>
      <c r="K16" s="49">
        <v>0</v>
      </c>
      <c r="L16" s="10"/>
      <c r="M16">
        <v>6</v>
      </c>
      <c r="N16" s="39">
        <f t="array" aca="1" ref="N16" ca="1">SUM(IF(Entities!$AI$7=1,IF(Entities!$AL$7:$AN$7=N$4,IF(Entities!$AP$7:$AR$7=$M16,1,0),0),0))+IF($AA16+$M16&gt;17,0,OFFSET(B16,-$AA16,0))</f>
        <v>0</v>
      </c>
      <c r="O16" s="39">
        <f t="array" aca="1" ref="O16" ca="1">SUM(IF(Entities!$AI$7=1,IF(Entities!$AL$7:$AN$7=O$4,IF(Entities!$AP$7:$AR$7=$M16,1,0),0),0))+IF($AA16+$M16&gt;17,0,OFFSET(C16,-$AA16,0))</f>
        <v>0</v>
      </c>
      <c r="P16" s="39">
        <f t="array" aca="1" ref="P16" ca="1">SUM(IF(Entities!$AI$7=1,IF(Entities!$AL$7:$AN$7=P$4,IF(Entities!$AP$7:$AR$7=$M16,1,0),0),0))+IF($AA16+$M16&gt;17,0,OFFSET(D16,-$AA16,0))</f>
        <v>0</v>
      </c>
      <c r="Q16" s="39">
        <f t="array" aca="1" ref="Q16" ca="1">SUM(IF(Entities!$AI$7=1,IF(Entities!$AL$7:$AN$7=Q$4,IF(Entities!$AP$7:$AR$7=$M16,1,0),0),0))+IF($AA16+$M16&gt;17,0,OFFSET(E16,-$AA16,0))</f>
        <v>0</v>
      </c>
      <c r="R16" s="39">
        <f t="array" aca="1" ref="R16" ca="1">SUM(IF(Entities!$AI$7=1,IF(Entities!$AL$7:$AN$7=R$4,IF(Entities!$AP$7:$AR$7=$M16,1,0),0),0))+IF($AA16+$M16&gt;17,0,OFFSET(F16,-$AA16,0))</f>
        <v>0</v>
      </c>
      <c r="S16" s="39">
        <f t="array" aca="1" ref="S16" ca="1">SUM(IF(Entities!$AI$7=1,IF(Entities!$AL$7:$AN$7=S$4,IF(Entities!$AP$7:$AR$7=$M16,1,0),0),0))+IF($AA16+$M16&gt;17,0,OFFSET(G16,-$AA16,0))</f>
        <v>0</v>
      </c>
      <c r="T16" s="39">
        <f t="array" aca="1" ref="T16" ca="1">SUM(IF(Entities!$AI$7=1,IF(Entities!$AL$7:$AN$7=T$4,IF(Entities!$AP$7:$AR$7=$M16,1,0),0),0))+IF($AA16+$M16&gt;17,0,OFFSET(H16,-$AA16,0))</f>
        <v>1</v>
      </c>
      <c r="U16" s="39">
        <f t="array" aca="1" ref="U16" ca="1">SUM(IF(Entities!$AI$7=1,IF(Entities!$AL$7:$AN$7=U$4,IF(Entities!$AP$7:$AR$7=$M16,1,0),0),0))+IF($AA16+$M16&gt;17,0,OFFSET(I16,-$AA16,0))</f>
        <v>0</v>
      </c>
      <c r="V16" s="39">
        <f t="array" aca="1" ref="V16" ca="1">SUM(IF(Entities!$AI$7=1,IF(Entities!$AL$7:$AN$7=V$4,IF(Entities!$AP$7:$AR$7=$M16,1,0),0),0))+IF($AA16+$M16&gt;17,0,OFFSET(J16,-$AA16,0))</f>
        <v>0</v>
      </c>
      <c r="W16" s="49">
        <f t="array" aca="1" ref="W16" ca="1">SUM(IF(Entities!$AI$7=1,IF(Entities!$AL$7:$AN$7=W$4,IF(Entities!$AP$7:$AR$7=$M16,1,0),0),0))+IF($AA16+$M16&gt;17,0,OFFSET(K16,-$AA16,0))</f>
        <v>0</v>
      </c>
      <c r="X16" s="56">
        <f t="shared" si="3"/>
        <v>1</v>
      </c>
      <c r="Y16" s="52">
        <f t="shared" si="1"/>
        <v>0</v>
      </c>
      <c r="Z16" s="10">
        <f>Y11</f>
        <v>0</v>
      </c>
      <c r="AA16" s="10">
        <f t="shared" ca="1" si="2"/>
        <v>0</v>
      </c>
      <c r="AB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  <c r="BT16" s="10"/>
      <c r="BU16" s="10"/>
      <c r="BV16" s="10"/>
      <c r="BW16" s="10"/>
      <c r="BX16" s="10"/>
      <c r="BY16" s="10"/>
      <c r="BZ16" s="10"/>
      <c r="CA16" s="10"/>
      <c r="CB16" s="10"/>
      <c r="CC16" s="10"/>
      <c r="CD16" s="10"/>
      <c r="CE16" s="10"/>
      <c r="CF16" s="10"/>
      <c r="CG16" s="10"/>
      <c r="CH16" s="10"/>
      <c r="CI16" s="10"/>
      <c r="CJ16" s="10"/>
      <c r="CK16" s="10"/>
      <c r="CL16" s="10"/>
      <c r="CM16" s="10"/>
      <c r="CN16" s="10"/>
      <c r="CO16" s="10"/>
      <c r="CP16" s="10"/>
      <c r="CQ16" s="10"/>
      <c r="CR16" s="10"/>
      <c r="CS16" s="10"/>
      <c r="CT16" s="10"/>
      <c r="CU16" s="10"/>
      <c r="CV16" s="10"/>
      <c r="CW16" s="10"/>
      <c r="CX16" s="10"/>
      <c r="CY16" s="10"/>
      <c r="CZ16" s="10"/>
      <c r="DA16" s="10"/>
      <c r="DB16" s="10"/>
      <c r="DC16" s="10"/>
      <c r="DD16" s="10"/>
      <c r="DE16" s="10"/>
      <c r="DF16" s="10"/>
      <c r="DG16" s="10"/>
      <c r="DH16" s="10"/>
      <c r="DI16" s="10"/>
      <c r="DJ16" s="10"/>
      <c r="DK16" s="10"/>
      <c r="DL16" s="10"/>
      <c r="DM16" s="10"/>
      <c r="DN16" s="10"/>
      <c r="DO16" s="10"/>
      <c r="DP16" s="10"/>
      <c r="DQ16" s="10"/>
      <c r="DR16" s="10"/>
      <c r="DS16" s="10"/>
      <c r="DT16" s="10"/>
      <c r="DU16" s="10"/>
      <c r="DV16" s="10"/>
      <c r="DW16" s="10"/>
      <c r="DX16" s="10"/>
      <c r="DY16" s="10"/>
      <c r="DZ16" s="10"/>
      <c r="EA16" s="10"/>
      <c r="EB16" s="10"/>
      <c r="EC16" s="10"/>
      <c r="ED16" s="10"/>
      <c r="EE16" s="10"/>
      <c r="EF16" s="10"/>
      <c r="EG16" s="10"/>
      <c r="EH16" s="10"/>
      <c r="EI16" s="10"/>
      <c r="EJ16" s="10"/>
      <c r="EK16" s="10"/>
      <c r="EL16" s="10"/>
      <c r="EM16" s="10"/>
      <c r="EN16" s="10"/>
      <c r="EO16" s="10"/>
      <c r="EP16" s="10"/>
      <c r="EQ16" s="10"/>
      <c r="ER16" s="10"/>
      <c r="ES16" s="10"/>
      <c r="ET16" s="10"/>
      <c r="EU16" s="10"/>
      <c r="EV16" s="10"/>
      <c r="EW16" s="10"/>
      <c r="EX16" s="10"/>
      <c r="EY16" s="10"/>
      <c r="EZ16" s="10"/>
      <c r="FA16" s="10"/>
      <c r="FB16" s="10"/>
      <c r="FC16" s="10"/>
      <c r="FD16" s="10"/>
      <c r="FE16" s="10"/>
    </row>
    <row r="17" spans="1:161" ht="27.75" customHeight="1" x14ac:dyDescent="0.25">
      <c r="A17">
        <v>5</v>
      </c>
      <c r="B17" s="39">
        <v>0</v>
      </c>
      <c r="C17" s="39">
        <v>0</v>
      </c>
      <c r="D17" s="39">
        <v>0</v>
      </c>
      <c r="E17" s="39">
        <v>0</v>
      </c>
      <c r="F17" s="39">
        <v>0</v>
      </c>
      <c r="G17" s="39">
        <v>0</v>
      </c>
      <c r="H17" s="39">
        <v>1</v>
      </c>
      <c r="I17" s="39">
        <v>0</v>
      </c>
      <c r="J17" s="39">
        <v>0</v>
      </c>
      <c r="K17" s="49">
        <v>0</v>
      </c>
      <c r="L17" s="10"/>
      <c r="M17">
        <v>5</v>
      </c>
      <c r="N17" s="39">
        <f t="array" aca="1" ref="N17" ca="1">SUM(IF(Entities!$AI$7=1,IF(Entities!$AL$7:$AN$7=N$4,IF(Entities!$AP$7:$AR$7=$M17,1,0),0),0))+IF($AA17+$M17&gt;17,0,OFFSET(B17,-$AA17,0))</f>
        <v>0</v>
      </c>
      <c r="O17" s="39">
        <f t="array" aca="1" ref="O17" ca="1">SUM(IF(Entities!$AI$7=1,IF(Entities!$AL$7:$AN$7=O$4,IF(Entities!$AP$7:$AR$7=$M17,1,0),0),0))+IF($AA17+$M17&gt;17,0,OFFSET(C17,-$AA17,0))</f>
        <v>0</v>
      </c>
      <c r="P17" s="39">
        <f t="array" aca="1" ref="P17" ca="1">SUM(IF(Entities!$AI$7=1,IF(Entities!$AL$7:$AN$7=P$4,IF(Entities!$AP$7:$AR$7=$M17,1,0),0),0))+IF($AA17+$M17&gt;17,0,OFFSET(D17,-$AA17,0))</f>
        <v>0</v>
      </c>
      <c r="Q17" s="39">
        <f t="array" aca="1" ref="Q17" ca="1">SUM(IF(Entities!$AI$7=1,IF(Entities!$AL$7:$AN$7=Q$4,IF(Entities!$AP$7:$AR$7=$M17,1,0),0),0))+IF($AA17+$M17&gt;17,0,OFFSET(E17,-$AA17,0))</f>
        <v>0</v>
      </c>
      <c r="R17" s="39">
        <f t="array" aca="1" ref="R17" ca="1">SUM(IF(Entities!$AI$7=1,IF(Entities!$AL$7:$AN$7=R$4,IF(Entities!$AP$7:$AR$7=$M17,1,0),0),0))+IF($AA17+$M17&gt;17,0,OFFSET(F17,-$AA17,0))</f>
        <v>0</v>
      </c>
      <c r="S17" s="39">
        <f t="array" aca="1" ref="S17" ca="1">SUM(IF(Entities!$AI$7=1,IF(Entities!$AL$7:$AN$7=S$4,IF(Entities!$AP$7:$AR$7=$M17,1,0),0),0))+IF($AA17+$M17&gt;17,0,OFFSET(G17,-$AA17,0))</f>
        <v>0</v>
      </c>
      <c r="T17" s="39">
        <f t="array" aca="1" ref="T17" ca="1">SUM(IF(Entities!$AI$7=1,IF(Entities!$AL$7:$AN$7=T$4,IF(Entities!$AP$7:$AR$7=$M17,1,0),0),0))+IF($AA17+$M17&gt;17,0,OFFSET(H17,-$AA17,0))</f>
        <v>1</v>
      </c>
      <c r="U17" s="39">
        <f t="array" aca="1" ref="U17" ca="1">SUM(IF(Entities!$AI$7=1,IF(Entities!$AL$7:$AN$7=U$4,IF(Entities!$AP$7:$AR$7=$M17,1,0),0),0))+IF($AA17+$M17&gt;17,0,OFFSET(I17,-$AA17,0))</f>
        <v>0</v>
      </c>
      <c r="V17" s="39">
        <f t="array" aca="1" ref="V17" ca="1">SUM(IF(Entities!$AI$7=1,IF(Entities!$AL$7:$AN$7=V$4,IF(Entities!$AP$7:$AR$7=$M17,1,0),0),0))+IF($AA17+$M17&gt;17,0,OFFSET(J17,-$AA17,0))</f>
        <v>0</v>
      </c>
      <c r="W17" s="49">
        <f t="array" aca="1" ref="W17" ca="1">SUM(IF(Entities!$AI$7=1,IF(Entities!$AL$7:$AN$7=W$4,IF(Entities!$AP$7:$AR$7=$M17,1,0),0),0))+IF($AA17+$M17&gt;17,0,OFFSET(K17,-$AA17,0))</f>
        <v>0</v>
      </c>
      <c r="X17" s="56">
        <f t="shared" si="3"/>
        <v>1</v>
      </c>
      <c r="Y17" s="52">
        <f t="shared" si="1"/>
        <v>0</v>
      </c>
      <c r="Z17" s="10">
        <f>Y10</f>
        <v>0</v>
      </c>
      <c r="AA17" s="10">
        <f t="shared" ca="1" si="2"/>
        <v>0</v>
      </c>
      <c r="AB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  <c r="BT17" s="10"/>
      <c r="BU17" s="10"/>
      <c r="BV17" s="10"/>
      <c r="BW17" s="10"/>
      <c r="BX17" s="10"/>
      <c r="BY17" s="10"/>
      <c r="BZ17" s="10"/>
      <c r="CA17" s="10"/>
      <c r="CB17" s="10"/>
      <c r="CC17" s="10"/>
      <c r="CD17" s="10"/>
      <c r="CE17" s="10"/>
      <c r="CF17" s="10"/>
      <c r="CG17" s="10"/>
      <c r="CH17" s="10"/>
      <c r="CI17" s="10"/>
      <c r="CJ17" s="10"/>
      <c r="CK17" s="10"/>
      <c r="CL17" s="10"/>
      <c r="CM17" s="10"/>
      <c r="CN17" s="10"/>
      <c r="CO17" s="10"/>
      <c r="CP17" s="10"/>
      <c r="CQ17" s="10"/>
      <c r="CR17" s="10"/>
      <c r="CS17" s="10"/>
      <c r="CT17" s="10"/>
      <c r="CU17" s="10"/>
      <c r="CV17" s="10"/>
      <c r="CW17" s="10"/>
      <c r="CX17" s="10"/>
      <c r="CY17" s="10"/>
      <c r="CZ17" s="10"/>
      <c r="DA17" s="10"/>
      <c r="DB17" s="10"/>
      <c r="DC17" s="10"/>
      <c r="DD17" s="10"/>
      <c r="DE17" s="10"/>
      <c r="DF17" s="10"/>
      <c r="DG17" s="10"/>
      <c r="DH17" s="10"/>
      <c r="DI17" s="10"/>
      <c r="DJ17" s="10"/>
      <c r="DK17" s="10"/>
      <c r="DL17" s="10"/>
      <c r="DM17" s="10"/>
      <c r="DN17" s="10"/>
      <c r="DO17" s="10"/>
      <c r="DP17" s="10"/>
      <c r="DQ17" s="10"/>
      <c r="DR17" s="10"/>
      <c r="DS17" s="10"/>
      <c r="DT17" s="10"/>
      <c r="DU17" s="10"/>
      <c r="DV17" s="10"/>
      <c r="DW17" s="10"/>
      <c r="DX17" s="10"/>
      <c r="DY17" s="10"/>
      <c r="DZ17" s="10"/>
      <c r="EA17" s="10"/>
      <c r="EB17" s="10"/>
      <c r="EC17" s="10"/>
      <c r="ED17" s="10"/>
      <c r="EE17" s="10"/>
      <c r="EF17" s="10"/>
      <c r="EG17" s="10"/>
      <c r="EH17" s="10"/>
      <c r="EI17" s="10"/>
      <c r="EJ17" s="10"/>
      <c r="EK17" s="10"/>
      <c r="EL17" s="10"/>
      <c r="EM17" s="10"/>
      <c r="EN17" s="10"/>
      <c r="EO17" s="10"/>
      <c r="EP17" s="10"/>
      <c r="EQ17" s="10"/>
      <c r="ER17" s="10"/>
      <c r="ES17" s="10"/>
      <c r="ET17" s="10"/>
      <c r="EU17" s="10"/>
      <c r="EV17" s="10"/>
      <c r="EW17" s="10"/>
      <c r="EX17" s="10"/>
      <c r="EY17" s="10"/>
      <c r="EZ17" s="10"/>
      <c r="FA17" s="10"/>
      <c r="FB17" s="10"/>
      <c r="FC17" s="10"/>
      <c r="FD17" s="10"/>
      <c r="FE17" s="10"/>
    </row>
    <row r="18" spans="1:161" ht="27.75" customHeight="1" x14ac:dyDescent="0.25">
      <c r="A18">
        <v>4</v>
      </c>
      <c r="B18" s="39">
        <v>0</v>
      </c>
      <c r="C18" s="39">
        <v>0</v>
      </c>
      <c r="D18" s="39">
        <v>0</v>
      </c>
      <c r="E18" s="39">
        <v>0</v>
      </c>
      <c r="F18" s="39">
        <v>0</v>
      </c>
      <c r="G18" s="39">
        <v>1</v>
      </c>
      <c r="H18" s="39">
        <v>0</v>
      </c>
      <c r="I18" s="39">
        <v>0</v>
      </c>
      <c r="J18" s="39">
        <v>0</v>
      </c>
      <c r="K18" s="49">
        <v>0</v>
      </c>
      <c r="L18" s="10"/>
      <c r="M18">
        <v>4</v>
      </c>
      <c r="N18" s="39">
        <f t="array" aca="1" ref="N18" ca="1">SUM(IF(Entities!$AI$7=1,IF(Entities!$AL$7:$AN$7=N$4,IF(Entities!$AP$7:$AR$7=$M18,1,0),0),0))+IF($AA18+$M18&gt;17,0,OFFSET(B18,-$AA18,0))</f>
        <v>0</v>
      </c>
      <c r="O18" s="39">
        <f t="array" aca="1" ref="O18" ca="1">SUM(IF(Entities!$AI$7=1,IF(Entities!$AL$7:$AN$7=O$4,IF(Entities!$AP$7:$AR$7=$M18,1,0),0),0))+IF($AA18+$M18&gt;17,0,OFFSET(C18,-$AA18,0))</f>
        <v>0</v>
      </c>
      <c r="P18" s="39">
        <f t="array" aca="1" ref="P18" ca="1">SUM(IF(Entities!$AI$7=1,IF(Entities!$AL$7:$AN$7=P$4,IF(Entities!$AP$7:$AR$7=$M18,1,0),0),0))+IF($AA18+$M18&gt;17,0,OFFSET(D18,-$AA18,0))</f>
        <v>0</v>
      </c>
      <c r="Q18" s="39">
        <f t="array" aca="1" ref="Q18" ca="1">SUM(IF(Entities!$AI$7=1,IF(Entities!$AL$7:$AN$7=Q$4,IF(Entities!$AP$7:$AR$7=$M18,1,0),0),0))+IF($AA18+$M18&gt;17,0,OFFSET(E18,-$AA18,0))</f>
        <v>0</v>
      </c>
      <c r="R18" s="39">
        <f t="array" aca="1" ref="R18" ca="1">SUM(IF(Entities!$AI$7=1,IF(Entities!$AL$7:$AN$7=R$4,IF(Entities!$AP$7:$AR$7=$M18,1,0),0),0))+IF($AA18+$M18&gt;17,0,OFFSET(F18,-$AA18,0))</f>
        <v>0</v>
      </c>
      <c r="S18" s="39">
        <f t="array" aca="1" ref="S18" ca="1">SUM(IF(Entities!$AI$7=1,IF(Entities!$AL$7:$AN$7=S$4,IF(Entities!$AP$7:$AR$7=$M18,1,0),0),0))+IF($AA18+$M18&gt;17,0,OFFSET(G18,-$AA18,0))</f>
        <v>1</v>
      </c>
      <c r="T18" s="39">
        <f t="array" aca="1" ref="T18" ca="1">SUM(IF(Entities!$AI$7=1,IF(Entities!$AL$7:$AN$7=T$4,IF(Entities!$AP$7:$AR$7=$M18,1,0),0),0))+IF($AA18+$M18&gt;17,0,OFFSET(H18,-$AA18,0))</f>
        <v>0</v>
      </c>
      <c r="U18" s="39">
        <f t="array" aca="1" ref="U18" ca="1">SUM(IF(Entities!$AI$7=1,IF(Entities!$AL$7:$AN$7=U$4,IF(Entities!$AP$7:$AR$7=$M18,1,0),0),0))+IF($AA18+$M18&gt;17,0,OFFSET(I18,-$AA18,0))</f>
        <v>0</v>
      </c>
      <c r="V18" s="39">
        <f t="array" aca="1" ref="V18" ca="1">SUM(IF(Entities!$AI$7=1,IF(Entities!$AL$7:$AN$7=V$4,IF(Entities!$AP$7:$AR$7=$M18,1,0),0),0))+IF($AA18+$M18&gt;17,0,OFFSET(J18,-$AA18,0))</f>
        <v>0</v>
      </c>
      <c r="W18" s="49">
        <f t="array" aca="1" ref="W18" ca="1">SUM(IF(Entities!$AI$7=1,IF(Entities!$AL$7:$AN$7=W$4,IF(Entities!$AP$7:$AR$7=$M18,1,0),0),0))+IF($AA18+$M18&gt;17,0,OFFSET(K18,-$AA18,0))</f>
        <v>0</v>
      </c>
      <c r="X18" s="56">
        <f t="shared" si="3"/>
        <v>1</v>
      </c>
      <c r="Y18" s="52">
        <f t="shared" si="1"/>
        <v>0</v>
      </c>
      <c r="Z18" s="10">
        <f>Y9</f>
        <v>0</v>
      </c>
      <c r="AA18" s="10">
        <f t="shared" ca="1" si="2"/>
        <v>0</v>
      </c>
      <c r="AB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  <c r="BT18" s="10"/>
      <c r="BU18" s="10"/>
      <c r="BV18" s="10"/>
      <c r="BW18" s="10"/>
      <c r="BX18" s="10"/>
      <c r="BY18" s="10"/>
      <c r="BZ18" s="10"/>
      <c r="CA18" s="10"/>
      <c r="CB18" s="10"/>
      <c r="CC18" s="10"/>
      <c r="CD18" s="10"/>
      <c r="CE18" s="10"/>
      <c r="CF18" s="10"/>
      <c r="CG18" s="10"/>
      <c r="CH18" s="10"/>
      <c r="CI18" s="10"/>
      <c r="CJ18" s="10"/>
      <c r="CK18" s="10"/>
      <c r="CL18" s="10"/>
      <c r="CM18" s="10"/>
      <c r="CN18" s="10"/>
      <c r="CO18" s="10"/>
      <c r="CP18" s="10"/>
      <c r="CQ18" s="10"/>
      <c r="CR18" s="10"/>
      <c r="CS18" s="10"/>
      <c r="CT18" s="10"/>
      <c r="CU18" s="10"/>
      <c r="CV18" s="10"/>
      <c r="CW18" s="10"/>
      <c r="CX18" s="10"/>
      <c r="CY18" s="10"/>
      <c r="CZ18" s="10"/>
      <c r="DA18" s="10"/>
      <c r="DB18" s="10"/>
      <c r="DC18" s="10"/>
      <c r="DD18" s="10"/>
      <c r="DE18" s="10"/>
      <c r="DF18" s="10"/>
      <c r="DG18" s="10"/>
      <c r="DH18" s="10"/>
      <c r="DI18" s="10"/>
      <c r="DJ18" s="10"/>
      <c r="DK18" s="10"/>
      <c r="DL18" s="10"/>
      <c r="DM18" s="10"/>
      <c r="DN18" s="10"/>
      <c r="DO18" s="10"/>
      <c r="DP18" s="10"/>
      <c r="DQ18" s="10"/>
      <c r="DR18" s="10"/>
      <c r="DS18" s="10"/>
      <c r="DT18" s="10"/>
      <c r="DU18" s="10"/>
      <c r="DV18" s="10"/>
      <c r="DW18" s="10"/>
      <c r="DX18" s="10"/>
      <c r="DY18" s="10"/>
      <c r="DZ18" s="10"/>
      <c r="EA18" s="10"/>
      <c r="EB18" s="10"/>
      <c r="EC18" s="10"/>
      <c r="ED18" s="10"/>
      <c r="EE18" s="10"/>
      <c r="EF18" s="10"/>
      <c r="EG18" s="10"/>
      <c r="EH18" s="10"/>
      <c r="EI18" s="10"/>
      <c r="EJ18" s="10"/>
      <c r="EK18" s="10"/>
      <c r="EL18" s="10"/>
      <c r="EM18" s="10"/>
      <c r="EN18" s="10"/>
      <c r="EO18" s="10"/>
      <c r="EP18" s="10"/>
      <c r="EQ18" s="10"/>
      <c r="ER18" s="10"/>
      <c r="ES18" s="10"/>
      <c r="ET18" s="10"/>
      <c r="EU18" s="10"/>
      <c r="EV18" s="10"/>
      <c r="EW18" s="10"/>
      <c r="EX18" s="10"/>
      <c r="EY18" s="10"/>
      <c r="EZ18" s="10"/>
      <c r="FA18" s="10"/>
      <c r="FB18" s="10"/>
      <c r="FC18" s="10"/>
      <c r="FD18" s="10"/>
      <c r="FE18" s="10"/>
    </row>
    <row r="19" spans="1:161" ht="27.75" customHeight="1" x14ac:dyDescent="0.25">
      <c r="A19">
        <v>3</v>
      </c>
      <c r="B19" s="39">
        <v>0</v>
      </c>
      <c r="C19" s="39">
        <v>0</v>
      </c>
      <c r="D19" s="39">
        <v>0</v>
      </c>
      <c r="E19" s="39">
        <v>0</v>
      </c>
      <c r="F19" s="39">
        <v>0</v>
      </c>
      <c r="G19" s="39">
        <v>1</v>
      </c>
      <c r="H19" s="39">
        <v>1</v>
      </c>
      <c r="I19" s="39">
        <v>0</v>
      </c>
      <c r="J19" s="39">
        <v>0</v>
      </c>
      <c r="K19" s="49">
        <v>0</v>
      </c>
      <c r="L19" s="10"/>
      <c r="M19">
        <v>3</v>
      </c>
      <c r="N19" s="39">
        <f t="array" aca="1" ref="N19" ca="1">SUM(IF(Entities!$AI$7=1,IF(Entities!$AL$7:$AN$7=N$4,IF(Entities!$AP$7:$AR$7=$M19,1,0),0),0))+IF($AA19+$M19&gt;17,0,OFFSET(B19,-$AA19,0))</f>
        <v>0</v>
      </c>
      <c r="O19" s="39">
        <f t="array" aca="1" ref="O19" ca="1">SUM(IF(Entities!$AI$7=1,IF(Entities!$AL$7:$AN$7=O$4,IF(Entities!$AP$7:$AR$7=$M19,1,0),0),0))+IF($AA19+$M19&gt;17,0,OFFSET(C19,-$AA19,0))</f>
        <v>0</v>
      </c>
      <c r="P19" s="39">
        <f t="array" aca="1" ref="P19" ca="1">SUM(IF(Entities!$AI$7=1,IF(Entities!$AL$7:$AN$7=P$4,IF(Entities!$AP$7:$AR$7=$M19,1,0),0),0))+IF($AA19+$M19&gt;17,0,OFFSET(D19,-$AA19,0))</f>
        <v>0</v>
      </c>
      <c r="Q19" s="39">
        <f t="array" aca="1" ref="Q19" ca="1">SUM(IF(Entities!$AI$7=1,IF(Entities!$AL$7:$AN$7=Q$4,IF(Entities!$AP$7:$AR$7=$M19,1,0),0),0))+IF($AA19+$M19&gt;17,0,OFFSET(E19,-$AA19,0))</f>
        <v>0</v>
      </c>
      <c r="R19" s="39">
        <f t="array" aca="1" ref="R19" ca="1">SUM(IF(Entities!$AI$7=1,IF(Entities!$AL$7:$AN$7=R$4,IF(Entities!$AP$7:$AR$7=$M19,1,0),0),0))+IF($AA19+$M19&gt;17,0,OFFSET(F19,-$AA19,0))</f>
        <v>0</v>
      </c>
      <c r="S19" s="39">
        <f t="array" aca="1" ref="S19" ca="1">SUM(IF(Entities!$AI$7=1,IF(Entities!$AL$7:$AN$7=S$4,IF(Entities!$AP$7:$AR$7=$M19,1,0),0),0))+IF($AA19+$M19&gt;17,0,OFFSET(G19,-$AA19,0))</f>
        <v>1</v>
      </c>
      <c r="T19" s="39">
        <f t="array" aca="1" ref="T19" ca="1">SUM(IF(Entities!$AI$7=1,IF(Entities!$AL$7:$AN$7=T$4,IF(Entities!$AP$7:$AR$7=$M19,1,0),0),0))+IF($AA19+$M19&gt;17,0,OFFSET(H19,-$AA19,0))</f>
        <v>1</v>
      </c>
      <c r="U19" s="39">
        <f t="array" aca="1" ref="U19" ca="1">SUM(IF(Entities!$AI$7=1,IF(Entities!$AL$7:$AN$7=U$4,IF(Entities!$AP$7:$AR$7=$M19,1,0),0),0))+IF($AA19+$M19&gt;17,0,OFFSET(I19,-$AA19,0))</f>
        <v>0</v>
      </c>
      <c r="V19" s="39">
        <f t="array" aca="1" ref="V19" ca="1">SUM(IF(Entities!$AI$7=1,IF(Entities!$AL$7:$AN$7=V$4,IF(Entities!$AP$7:$AR$7=$M19,1,0),0),0))+IF($AA19+$M19&gt;17,0,OFFSET(J19,-$AA19,0))</f>
        <v>0</v>
      </c>
      <c r="W19" s="49">
        <f t="array" aca="1" ref="W19" ca="1">SUM(IF(Entities!$AI$7=1,IF(Entities!$AL$7:$AN$7=W$4,IF(Entities!$AP$7:$AR$7=$M19,1,0),0),0))+IF($AA19+$M19&gt;17,0,OFFSET(K19,-$AA19,0))</f>
        <v>0</v>
      </c>
      <c r="X19" s="56">
        <f t="shared" si="3"/>
        <v>2</v>
      </c>
      <c r="Y19" s="52">
        <f t="shared" si="1"/>
        <v>0</v>
      </c>
      <c r="Z19" s="10">
        <f>Y8</f>
        <v>0</v>
      </c>
      <c r="AA19" s="10">
        <f t="shared" ca="1" si="2"/>
        <v>0</v>
      </c>
      <c r="AB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  <c r="BT19" s="10"/>
      <c r="BU19" s="10"/>
      <c r="BV19" s="10"/>
      <c r="BW19" s="10"/>
      <c r="BX19" s="10"/>
      <c r="BY19" s="10"/>
      <c r="BZ19" s="10"/>
      <c r="CA19" s="10"/>
      <c r="CB19" s="10"/>
      <c r="CC19" s="10"/>
      <c r="CD19" s="10"/>
      <c r="CE19" s="10"/>
      <c r="CF19" s="10"/>
      <c r="CG19" s="10"/>
      <c r="CH19" s="10"/>
      <c r="CI19" s="10"/>
      <c r="CJ19" s="10"/>
      <c r="CK19" s="10"/>
      <c r="CL19" s="10"/>
      <c r="CM19" s="10"/>
      <c r="CN19" s="10"/>
      <c r="CO19" s="10"/>
      <c r="CP19" s="10"/>
      <c r="CQ19" s="10"/>
      <c r="CR19" s="10"/>
      <c r="CS19" s="10"/>
      <c r="CT19" s="10"/>
      <c r="CU19" s="10"/>
      <c r="CV19" s="10"/>
      <c r="CW19" s="10"/>
      <c r="CX19" s="10"/>
      <c r="CY19" s="10"/>
      <c r="CZ19" s="10"/>
      <c r="DA19" s="10"/>
      <c r="DB19" s="10"/>
      <c r="DC19" s="10"/>
      <c r="DD19" s="10"/>
      <c r="DE19" s="10"/>
      <c r="DF19" s="10"/>
      <c r="DG19" s="10"/>
      <c r="DH19" s="10"/>
      <c r="DI19" s="10"/>
      <c r="DJ19" s="10"/>
      <c r="DK19" s="10"/>
      <c r="DL19" s="10"/>
      <c r="DM19" s="10"/>
      <c r="DN19" s="10"/>
      <c r="DO19" s="10"/>
      <c r="DP19" s="10"/>
      <c r="DQ19" s="10"/>
      <c r="DR19" s="10"/>
      <c r="DS19" s="10"/>
      <c r="DT19" s="10"/>
      <c r="DU19" s="10"/>
      <c r="DV19" s="10"/>
      <c r="DW19" s="10"/>
      <c r="DX19" s="10"/>
      <c r="DY19" s="10"/>
      <c r="DZ19" s="10"/>
      <c r="EA19" s="10"/>
      <c r="EB19" s="10"/>
      <c r="EC19" s="10"/>
      <c r="ED19" s="10"/>
      <c r="EE19" s="10"/>
      <c r="EF19" s="10"/>
      <c r="EG19" s="10"/>
      <c r="EH19" s="10"/>
      <c r="EI19" s="10"/>
      <c r="EJ19" s="10"/>
      <c r="EK19" s="10"/>
      <c r="EL19" s="10"/>
      <c r="EM19" s="10"/>
      <c r="EN19" s="10"/>
      <c r="EO19" s="10"/>
      <c r="EP19" s="10"/>
      <c r="EQ19" s="10"/>
      <c r="ER19" s="10"/>
      <c r="ES19" s="10"/>
      <c r="ET19" s="10"/>
      <c r="EU19" s="10"/>
      <c r="EV19" s="10"/>
      <c r="EW19" s="10"/>
      <c r="EX19" s="10"/>
      <c r="EY19" s="10"/>
      <c r="EZ19" s="10"/>
      <c r="FA19" s="10"/>
      <c r="FB19" s="10"/>
      <c r="FC19" s="10"/>
      <c r="FD19" s="10"/>
      <c r="FE19" s="10"/>
    </row>
    <row r="20" spans="1:161" ht="27.75" customHeight="1" x14ac:dyDescent="0.25">
      <c r="A20">
        <v>2</v>
      </c>
      <c r="B20" s="39">
        <v>0</v>
      </c>
      <c r="C20" s="39">
        <v>0</v>
      </c>
      <c r="D20" s="39">
        <v>0</v>
      </c>
      <c r="E20" s="39">
        <v>0</v>
      </c>
      <c r="F20" s="39">
        <v>1</v>
      </c>
      <c r="G20" s="39">
        <v>1</v>
      </c>
      <c r="H20" s="39">
        <v>0</v>
      </c>
      <c r="I20" s="39">
        <v>0</v>
      </c>
      <c r="J20" s="39">
        <v>0</v>
      </c>
      <c r="K20" s="39">
        <v>0</v>
      </c>
      <c r="L20" s="10"/>
      <c r="M20">
        <v>2</v>
      </c>
      <c r="N20" s="39">
        <f t="array" aca="1" ref="N20" ca="1">SUM(IF(Entities!$AI$7=1,IF(Entities!$AL$7:$AN$7=N$4,IF(Entities!$AP$7:$AR$7=$M20,1,0),0),0))+IF($AA20+$M20&gt;17,0,OFFSET(B20,-$AA20,0))</f>
        <v>0</v>
      </c>
      <c r="O20" s="39">
        <f t="array" aca="1" ref="O20" ca="1">SUM(IF(Entities!$AI$7=1,IF(Entities!$AL$7:$AN$7=O$4,IF(Entities!$AP$7:$AR$7=$M20,1,0),0),0))+IF($AA20+$M20&gt;17,0,OFFSET(C20,-$AA20,0))</f>
        <v>0</v>
      </c>
      <c r="P20" s="39">
        <f t="array" aca="1" ref="P20" ca="1">SUM(IF(Entities!$AI$7=1,IF(Entities!$AL$7:$AN$7=P$4,IF(Entities!$AP$7:$AR$7=$M20,1,0),0),0))+IF($AA20+$M20&gt;17,0,OFFSET(D20,-$AA20,0))</f>
        <v>0</v>
      </c>
      <c r="Q20" s="39">
        <f t="array" aca="1" ref="Q20" ca="1">SUM(IF(Entities!$AI$7=1,IF(Entities!$AL$7:$AN$7=Q$4,IF(Entities!$AP$7:$AR$7=$M20,1,0),0),0))+IF($AA20+$M20&gt;17,0,OFFSET(E20,-$AA20,0))</f>
        <v>0</v>
      </c>
      <c r="R20" s="39">
        <f t="array" aca="1" ref="R20" ca="1">SUM(IF(Entities!$AI$7=1,IF(Entities!$AL$7:$AN$7=R$4,IF(Entities!$AP$7:$AR$7=$M20,1,0),0),0))+IF($AA20+$M20&gt;17,0,OFFSET(F20,-$AA20,0))</f>
        <v>1</v>
      </c>
      <c r="S20" s="39">
        <f t="array" aca="1" ref="S20" ca="1">SUM(IF(Entities!$AI$7=1,IF(Entities!$AL$7:$AN$7=S$4,IF(Entities!$AP$7:$AR$7=$M20,1,0),0),0))+IF($AA20+$M20&gt;17,0,OFFSET(G20,-$AA20,0))</f>
        <v>1</v>
      </c>
      <c r="T20" s="39">
        <f t="array" aca="1" ref="T20" ca="1">SUM(IF(Entities!$AI$7=1,IF(Entities!$AL$7:$AN$7=T$4,IF(Entities!$AP$7:$AR$7=$M20,1,0),0),0))+IF($AA20+$M20&gt;17,0,OFFSET(H20,-$AA20,0))</f>
        <v>0</v>
      </c>
      <c r="U20" s="39">
        <f t="array" aca="1" ref="U20" ca="1">SUM(IF(Entities!$AI$7=1,IF(Entities!$AL$7:$AN$7=U$4,IF(Entities!$AP$7:$AR$7=$M20,1,0),0),0))+IF($AA20+$M20&gt;17,0,OFFSET(I20,-$AA20,0))</f>
        <v>0</v>
      </c>
      <c r="V20" s="39">
        <f t="array" aca="1" ref="V20" ca="1">SUM(IF(Entities!$AI$7=1,IF(Entities!$AL$7:$AN$7=V$4,IF(Entities!$AP$7:$AR$7=$M20,1,0),0),0))+IF($AA20+$M20&gt;17,0,OFFSET(J20,-$AA20,0))</f>
        <v>0</v>
      </c>
      <c r="W20" s="49">
        <f t="array" aca="1" ref="W20" ca="1">SUM(IF(Entities!$AI$7=1,IF(Entities!$AL$7:$AN$7=W$4,IF(Entities!$AP$7:$AR$7=$M20,1,0),0),0))+IF($AA20+$M20&gt;17,0,OFFSET(K20,-$AA20,0))</f>
        <v>0</v>
      </c>
      <c r="X20" s="56">
        <f t="shared" si="3"/>
        <v>2</v>
      </c>
      <c r="Y20" s="52">
        <f t="shared" si="1"/>
        <v>0</v>
      </c>
      <c r="Z20" s="10">
        <f>Y7</f>
        <v>0</v>
      </c>
      <c r="AA20" s="10">
        <f t="shared" ca="1" si="2"/>
        <v>0</v>
      </c>
      <c r="AB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  <c r="BT20" s="10"/>
      <c r="BU20" s="10"/>
      <c r="BV20" s="10"/>
      <c r="BW20" s="10"/>
      <c r="BX20" s="10"/>
      <c r="BY20" s="10"/>
      <c r="BZ20" s="10"/>
      <c r="CA20" s="10"/>
      <c r="CB20" s="10"/>
      <c r="CC20" s="10"/>
      <c r="CD20" s="10"/>
      <c r="CE20" s="10"/>
      <c r="CF20" s="10"/>
      <c r="CG20" s="10"/>
      <c r="CH20" s="10"/>
      <c r="CI20" s="10"/>
      <c r="CJ20" s="10"/>
      <c r="CK20" s="10"/>
      <c r="CL20" s="10"/>
      <c r="CM20" s="10"/>
      <c r="CN20" s="10"/>
      <c r="CO20" s="10"/>
      <c r="CP20" s="10"/>
      <c r="CQ20" s="10"/>
      <c r="CR20" s="10"/>
      <c r="CS20" s="10"/>
      <c r="CT20" s="10"/>
      <c r="CU20" s="10"/>
      <c r="CV20" s="10"/>
      <c r="CW20" s="10"/>
      <c r="CX20" s="10"/>
      <c r="CY20" s="10"/>
      <c r="CZ20" s="10"/>
      <c r="DA20" s="10"/>
      <c r="DB20" s="10"/>
      <c r="DC20" s="10"/>
      <c r="DD20" s="10"/>
      <c r="DE20" s="10"/>
      <c r="DF20" s="10"/>
      <c r="DG20" s="10"/>
      <c r="DH20" s="10"/>
      <c r="DI20" s="10"/>
      <c r="DJ20" s="10"/>
      <c r="DK20" s="10"/>
      <c r="DL20" s="10"/>
      <c r="DM20" s="10"/>
      <c r="DN20" s="10"/>
      <c r="DO20" s="10"/>
      <c r="DP20" s="10"/>
      <c r="DQ20" s="10"/>
      <c r="DR20" s="10"/>
      <c r="DS20" s="10"/>
      <c r="DT20" s="10"/>
      <c r="DU20" s="10"/>
      <c r="DV20" s="10"/>
      <c r="DW20" s="10"/>
      <c r="DX20" s="10"/>
      <c r="DY20" s="10"/>
      <c r="DZ20" s="10"/>
      <c r="EA20" s="10"/>
      <c r="EB20" s="10"/>
      <c r="EC20" s="10"/>
      <c r="ED20" s="10"/>
      <c r="EE20" s="10"/>
      <c r="EF20" s="10"/>
      <c r="EG20" s="10"/>
      <c r="EH20" s="10"/>
      <c r="EI20" s="10"/>
      <c r="EJ20" s="10"/>
      <c r="EK20" s="10"/>
      <c r="EL20" s="10"/>
      <c r="EM20" s="10"/>
      <c r="EN20" s="10"/>
      <c r="EO20" s="10"/>
      <c r="EP20" s="10"/>
      <c r="EQ20" s="10"/>
      <c r="ER20" s="10"/>
      <c r="ES20" s="10"/>
      <c r="ET20" s="10"/>
      <c r="EU20" s="10"/>
      <c r="EV20" s="10"/>
      <c r="EW20" s="10"/>
      <c r="EX20" s="10"/>
      <c r="EY20" s="10"/>
      <c r="EZ20" s="10"/>
      <c r="FA20" s="10"/>
      <c r="FB20" s="10"/>
      <c r="FC20" s="10"/>
      <c r="FD20" s="10"/>
      <c r="FE20" s="10"/>
    </row>
    <row r="21" spans="1:161" ht="27.75" customHeight="1" x14ac:dyDescent="0.25">
      <c r="A21">
        <v>1</v>
      </c>
      <c r="B21" s="39">
        <v>0</v>
      </c>
      <c r="C21" s="39">
        <v>0</v>
      </c>
      <c r="D21" s="39">
        <v>0</v>
      </c>
      <c r="E21" s="39">
        <v>0</v>
      </c>
      <c r="F21" s="39">
        <v>0</v>
      </c>
      <c r="G21" s="39">
        <v>1</v>
      </c>
      <c r="H21" s="39">
        <v>1</v>
      </c>
      <c r="I21" s="39">
        <v>0</v>
      </c>
      <c r="J21" s="39">
        <v>0</v>
      </c>
      <c r="K21" s="39">
        <v>0</v>
      </c>
      <c r="L21" s="10"/>
      <c r="M21">
        <v>1</v>
      </c>
      <c r="N21" s="39">
        <f t="array" aca="1" ref="N21" ca="1">SUM(IF(Entities!$AI$7=1,IF(Entities!$AL$7:$AN$7=N$4,IF(Entities!$AP$7:$AR$7=$M21,1,0),0),0))+IF($AA21+$M21&gt;17,0,OFFSET(B21,-$AA21,0))</f>
        <v>0</v>
      </c>
      <c r="O21" s="39">
        <f t="array" aca="1" ref="O21" ca="1">SUM(IF(Entities!$AI$7=1,IF(Entities!$AL$7:$AN$7=O$4,IF(Entities!$AP$7:$AR$7=$M21,1,0),0),0))+IF($AA21+$M21&gt;17,0,OFFSET(C21,-$AA21,0))</f>
        <v>0</v>
      </c>
      <c r="P21" s="39">
        <f t="array" aca="1" ref="P21" ca="1">SUM(IF(Entities!$AI$7=1,IF(Entities!$AL$7:$AN$7=P$4,IF(Entities!$AP$7:$AR$7=$M21,1,0),0),0))+IF($AA21+$M21&gt;17,0,OFFSET(D21,-$AA21,0))</f>
        <v>0</v>
      </c>
      <c r="Q21" s="39">
        <f t="array" aca="1" ref="Q21" ca="1">SUM(IF(Entities!$AI$7=1,IF(Entities!$AL$7:$AN$7=Q$4,IF(Entities!$AP$7:$AR$7=$M21,1,0),0),0))+IF($AA21+$M21&gt;17,0,OFFSET(E21,-$AA21,0))</f>
        <v>0</v>
      </c>
      <c r="R21" s="39">
        <f t="array" aca="1" ref="R21" ca="1">SUM(IF(Entities!$AI$7=1,IF(Entities!$AL$7:$AN$7=R$4,IF(Entities!$AP$7:$AR$7=$M21,1,0),0),0))+IF($AA21+$M21&gt;17,0,OFFSET(F21,-$AA21,0))</f>
        <v>0</v>
      </c>
      <c r="S21" s="39">
        <f t="array" aca="1" ref="S21" ca="1">SUM(IF(Entities!$AI$7=1,IF(Entities!$AL$7:$AN$7=S$4,IF(Entities!$AP$7:$AR$7=$M21,1,0),0),0))+IF($AA21+$M21&gt;17,0,OFFSET(G21,-$AA21,0))</f>
        <v>1</v>
      </c>
      <c r="T21" s="39">
        <f t="array" aca="1" ref="T21" ca="1">SUM(IF(Entities!$AI$7=1,IF(Entities!$AL$7:$AN$7=T$4,IF(Entities!$AP$7:$AR$7=$M21,1,0),0),0))+IF($AA21+$M21&gt;17,0,OFFSET(H21,-$AA21,0))</f>
        <v>1</v>
      </c>
      <c r="U21" s="39">
        <f t="array" aca="1" ref="U21" ca="1">SUM(IF(Entities!$AI$7=1,IF(Entities!$AL$7:$AN$7=U$4,IF(Entities!$AP$7:$AR$7=$M21,1,0),0),0))+IF($AA21+$M21&gt;17,0,OFFSET(I21,-$AA21,0))</f>
        <v>0</v>
      </c>
      <c r="V21" s="39">
        <f t="array" aca="1" ref="V21" ca="1">SUM(IF(Entities!$AI$7=1,IF(Entities!$AL$7:$AN$7=V$4,IF(Entities!$AP$7:$AR$7=$M21,1,0),0),0))+IF($AA21+$M21&gt;17,0,OFFSET(J21,-$AA21,0))</f>
        <v>0</v>
      </c>
      <c r="W21" s="49">
        <f t="array" aca="1" ref="W21" ca="1">SUM(IF(Entities!$AI$7=1,IF(Entities!$AL$7:$AN$7=W$4,IF(Entities!$AP$7:$AR$7=$M21,1,0),0),0))+IF($AA21+$M21&gt;17,0,OFFSET(K21,-$AA21,0))</f>
        <v>0</v>
      </c>
      <c r="X21" s="56">
        <f t="shared" si="3"/>
        <v>2</v>
      </c>
      <c r="Y21" s="52">
        <f t="shared" si="1"/>
        <v>0</v>
      </c>
      <c r="Z21" s="10">
        <f>Y6</f>
        <v>0</v>
      </c>
      <c r="AA21" s="10">
        <f t="shared" ca="1" si="2"/>
        <v>0</v>
      </c>
      <c r="AB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  <c r="BT21" s="10"/>
      <c r="BU21" s="10"/>
      <c r="BV21" s="10"/>
      <c r="BW21" s="10"/>
      <c r="BX21" s="10"/>
      <c r="BY21" s="10"/>
      <c r="BZ21" s="10"/>
      <c r="CA21" s="10"/>
      <c r="CB21" s="10"/>
      <c r="CC21" s="10"/>
      <c r="CD21" s="10"/>
      <c r="CE21" s="10"/>
      <c r="CF21" s="10"/>
      <c r="CG21" s="10"/>
      <c r="CH21" s="10"/>
      <c r="CI21" s="10"/>
      <c r="CJ21" s="10"/>
      <c r="CK21" s="10"/>
      <c r="CL21" s="10"/>
      <c r="CM21" s="10"/>
      <c r="CN21" s="10"/>
      <c r="CO21" s="10"/>
      <c r="CP21" s="10"/>
      <c r="CQ21" s="10"/>
      <c r="CR21" s="10"/>
      <c r="CS21" s="10"/>
      <c r="CT21" s="10"/>
      <c r="CU21" s="10"/>
      <c r="CV21" s="10"/>
      <c r="CW21" s="10"/>
      <c r="CX21" s="10"/>
      <c r="CY21" s="10"/>
      <c r="CZ21" s="10"/>
      <c r="DA21" s="10"/>
      <c r="DB21" s="10"/>
      <c r="DC21" s="10"/>
      <c r="DD21" s="10"/>
      <c r="DE21" s="10"/>
      <c r="DF21" s="10"/>
      <c r="DG21" s="10"/>
      <c r="DH21" s="10"/>
      <c r="DI21" s="10"/>
      <c r="DJ21" s="10"/>
      <c r="DK21" s="10"/>
      <c r="DL21" s="10"/>
      <c r="DM21" s="10"/>
      <c r="DN21" s="10"/>
      <c r="DO21" s="10"/>
      <c r="DP21" s="10"/>
      <c r="DQ21" s="10"/>
      <c r="DR21" s="10"/>
      <c r="DS21" s="10"/>
      <c r="DT21" s="10"/>
      <c r="DU21" s="10"/>
      <c r="DV21" s="10"/>
      <c r="DW21" s="10"/>
      <c r="DX21" s="10"/>
      <c r="DY21" s="10"/>
      <c r="DZ21" s="10"/>
      <c r="EA21" s="10"/>
      <c r="EB21" s="10"/>
      <c r="EC21" s="10"/>
      <c r="ED21" s="10"/>
      <c r="EE21" s="10"/>
      <c r="EF21" s="10"/>
      <c r="EG21" s="10"/>
      <c r="EH21" s="10"/>
      <c r="EI21" s="10"/>
      <c r="EJ21" s="10"/>
      <c r="EK21" s="10"/>
      <c r="EL21" s="10"/>
      <c r="EM21" s="10"/>
      <c r="EN21" s="10"/>
      <c r="EO21" s="10"/>
      <c r="EP21" s="10"/>
      <c r="EQ21" s="10"/>
      <c r="ER21" s="10"/>
      <c r="ES21" s="10"/>
      <c r="ET21" s="10"/>
      <c r="EU21" s="10"/>
      <c r="EV21" s="10"/>
      <c r="EW21" s="10"/>
      <c r="EX21" s="10"/>
      <c r="EY21" s="10"/>
      <c r="EZ21" s="10"/>
      <c r="FA21" s="10"/>
      <c r="FB21" s="10"/>
      <c r="FC21" s="10"/>
      <c r="FD21" s="10"/>
      <c r="FE21" s="10"/>
    </row>
    <row r="22" spans="1:161" ht="27.75" customHeight="1" x14ac:dyDescent="0.25">
      <c r="A22">
        <v>0</v>
      </c>
      <c r="B22" s="50">
        <v>0</v>
      </c>
      <c r="C22" s="50">
        <v>0</v>
      </c>
      <c r="D22" s="50">
        <v>0</v>
      </c>
      <c r="E22" s="50">
        <v>0</v>
      </c>
      <c r="F22" s="50">
        <v>0</v>
      </c>
      <c r="G22" s="50">
        <v>1</v>
      </c>
      <c r="H22" s="50">
        <v>0</v>
      </c>
      <c r="I22" s="50">
        <v>0</v>
      </c>
      <c r="J22" s="50">
        <v>0</v>
      </c>
      <c r="K22" s="51">
        <v>0</v>
      </c>
      <c r="L22" s="10"/>
      <c r="M22">
        <v>0</v>
      </c>
      <c r="N22" s="50">
        <f t="array" aca="1" ref="N22" ca="1">SUM(IF(Entities!$AI$7=1,IF(Entities!$AL$7:$AN$7=N$4,IF(Entities!$AP$7:$AR$7=$M22,1,0),0),0))+IF($AA22+$M22&gt;17,0,OFFSET(B22,-$AA22,0))</f>
        <v>0</v>
      </c>
      <c r="O22" s="50">
        <f t="array" aca="1" ref="O22" ca="1">SUM(IF(Entities!$AI$7=1,IF(Entities!$AL$7:$AN$7=O$4,IF(Entities!$AP$7:$AR$7=$M22,1,0),0),0))+IF($AA22+$M22&gt;17,0,OFFSET(C22,-$AA22,0))</f>
        <v>0</v>
      </c>
      <c r="P22" s="50">
        <f t="array" aca="1" ref="P22" ca="1">SUM(IF(Entities!$AI$7=1,IF(Entities!$AL$7:$AN$7=P$4,IF(Entities!$AP$7:$AR$7=$M22,1,0),0),0))+IF($AA22+$M22&gt;17,0,OFFSET(D22,-$AA22,0))</f>
        <v>0</v>
      </c>
      <c r="Q22" s="50">
        <f t="array" aca="1" ref="Q22" ca="1">SUM(IF(Entities!$AI$7=1,IF(Entities!$AL$7:$AN$7=Q$4,IF(Entities!$AP$7:$AR$7=$M22,1,0),0),0))+IF($AA22+$M22&gt;17,0,OFFSET(E22,-$AA22,0))</f>
        <v>0</v>
      </c>
      <c r="R22" s="50">
        <f t="array" aca="1" ref="R22" ca="1">SUM(IF(Entities!$AI$7=1,IF(Entities!$AL$7:$AN$7=R$4,IF(Entities!$AP$7:$AR$7=$M22,1,0),0),0))+IF($AA22+$M22&gt;17,0,OFFSET(F22,-$AA22,0))</f>
        <v>0</v>
      </c>
      <c r="S22" s="50">
        <f t="array" aca="1" ref="S22" ca="1">SUM(IF(Entities!$AI$7=1,IF(Entities!$AL$7:$AN$7=S$4,IF(Entities!$AP$7:$AR$7=$M22,1,0),0),0))+IF($AA22+$M22&gt;17,0,OFFSET(G22,-$AA22,0))</f>
        <v>1</v>
      </c>
      <c r="T22" s="50">
        <f t="array" aca="1" ref="T22" ca="1">SUM(IF(Entities!$AI$7=1,IF(Entities!$AL$7:$AN$7=T$4,IF(Entities!$AP$7:$AR$7=$M22,1,0),0),0))+IF($AA22+$M22&gt;17,0,OFFSET(H22,-$AA22,0))</f>
        <v>0</v>
      </c>
      <c r="U22" s="50">
        <f t="array" aca="1" ref="U22" ca="1">SUM(IF(Entities!$AI$7=1,IF(Entities!$AL$7:$AN$7=U$4,IF(Entities!$AP$7:$AR$7=$M22,1,0),0),0))+IF($AA22+$M22&gt;17,0,OFFSET(I22,-$AA22,0))</f>
        <v>0</v>
      </c>
      <c r="V22" s="50">
        <f t="array" aca="1" ref="V22" ca="1">SUM(IF(Entities!$AI$7=1,IF(Entities!$AL$7:$AN$7=V$4,IF(Entities!$AP$7:$AR$7=$M22,1,0),0),0))+IF($AA22+$M22&gt;17,0,OFFSET(J22,-$AA22,0))</f>
        <v>0</v>
      </c>
      <c r="W22" s="51">
        <f t="array" aca="1" ref="W22" ca="1">SUM(IF(Entities!$AI$7=1,IF(Entities!$AL$7:$AN$7=W$4,IF(Entities!$AP$7:$AR$7=$M22,1,0),0),0))+IF($AA22+$M22&gt;17,0,OFFSET(K22,-$AA22,0))</f>
        <v>0</v>
      </c>
      <c r="X22" s="56">
        <f>SUM(B22:K22)</f>
        <v>1</v>
      </c>
      <c r="Y22" s="52">
        <f t="shared" si="1"/>
        <v>0</v>
      </c>
      <c r="Z22" s="10">
        <f>Y5</f>
        <v>0</v>
      </c>
      <c r="AA22" s="10">
        <f ca="1">(MATCH(0,OFFSET($Z$5,$M22,0,20-$M22,1),0)-1)+AA23</f>
        <v>0</v>
      </c>
      <c r="AB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  <c r="BT22" s="10"/>
      <c r="BU22" s="10"/>
      <c r="BV22" s="10"/>
      <c r="BW22" s="10"/>
      <c r="BX22" s="10"/>
      <c r="BY22" s="10"/>
      <c r="BZ22" s="10"/>
      <c r="CA22" s="10"/>
      <c r="CB22" s="10"/>
      <c r="CC22" s="10"/>
      <c r="CD22" s="10"/>
      <c r="CE22" s="10"/>
      <c r="CF22" s="10"/>
      <c r="CG22" s="10"/>
      <c r="CH22" s="10"/>
      <c r="CI22" s="10"/>
      <c r="CJ22" s="10"/>
      <c r="CK22" s="10"/>
      <c r="CL22" s="10"/>
      <c r="CM22" s="10"/>
      <c r="CN22" s="10"/>
      <c r="CO22" s="10"/>
      <c r="CP22" s="10"/>
      <c r="CQ22" s="10"/>
      <c r="CR22" s="10"/>
      <c r="CS22" s="10"/>
      <c r="CT22" s="10"/>
      <c r="CU22" s="10"/>
      <c r="CV22" s="10"/>
      <c r="CW22" s="10"/>
      <c r="CX22" s="10"/>
      <c r="CY22" s="10"/>
      <c r="CZ22" s="10"/>
      <c r="DA22" s="10"/>
      <c r="DB22" s="10"/>
      <c r="DC22" s="10"/>
      <c r="DD22" s="10"/>
      <c r="DE22" s="10"/>
      <c r="DF22" s="10"/>
      <c r="DG22" s="10"/>
      <c r="DH22" s="10"/>
      <c r="DI22" s="10"/>
      <c r="DJ22" s="10"/>
      <c r="DK22" s="10"/>
      <c r="DL22" s="10"/>
      <c r="DM22" s="10"/>
      <c r="DN22" s="10"/>
      <c r="DO22" s="10"/>
      <c r="DP22" s="10"/>
      <c r="DQ22" s="10"/>
      <c r="DR22" s="10"/>
      <c r="DS22" s="10"/>
      <c r="DT22" s="10"/>
      <c r="DU22" s="10"/>
      <c r="DV22" s="10"/>
      <c r="DW22" s="10"/>
      <c r="DX22" s="10"/>
      <c r="DY22" s="10"/>
      <c r="DZ22" s="10"/>
      <c r="EA22" s="10"/>
      <c r="EB22" s="10"/>
      <c r="EC22" s="10"/>
      <c r="ED22" s="10"/>
      <c r="EE22" s="10"/>
      <c r="EF22" s="10"/>
      <c r="EG22" s="10"/>
      <c r="EH22" s="10"/>
      <c r="EI22" s="10"/>
      <c r="EJ22" s="10"/>
      <c r="EK22" s="10"/>
      <c r="EL22" s="10"/>
      <c r="EM22" s="10"/>
      <c r="EN22" s="10"/>
      <c r="EO22" s="10"/>
      <c r="EP22" s="10"/>
      <c r="EQ22" s="10"/>
      <c r="ER22" s="10"/>
      <c r="ES22" s="10"/>
      <c r="ET22" s="10"/>
      <c r="EU22" s="10"/>
      <c r="EV22" s="10"/>
      <c r="EW22" s="10"/>
      <c r="EX22" s="10"/>
      <c r="EY22" s="10"/>
      <c r="EZ22" s="10"/>
      <c r="FA22" s="10"/>
      <c r="FB22" s="10"/>
      <c r="FC22" s="10"/>
      <c r="FD22" s="10"/>
      <c r="FE22" s="10"/>
    </row>
    <row r="23" spans="1:161" ht="27.75" customHeight="1" x14ac:dyDescent="0.25">
      <c r="A23">
        <v>-1</v>
      </c>
      <c r="B23" s="50">
        <v>1</v>
      </c>
      <c r="C23" s="50">
        <v>1</v>
      </c>
      <c r="D23" s="50">
        <v>1</v>
      </c>
      <c r="E23" s="50">
        <v>1</v>
      </c>
      <c r="F23" s="50">
        <v>1</v>
      </c>
      <c r="G23" s="50">
        <v>1</v>
      </c>
      <c r="H23" s="50">
        <v>1</v>
      </c>
      <c r="I23" s="50">
        <v>1</v>
      </c>
      <c r="J23" s="50">
        <v>1</v>
      </c>
      <c r="K23" s="51">
        <v>1</v>
      </c>
      <c r="L23" s="10"/>
      <c r="M23">
        <v>-1</v>
      </c>
      <c r="N23" s="50">
        <v>1</v>
      </c>
      <c r="O23" s="50">
        <v>1</v>
      </c>
      <c r="P23" s="50">
        <v>1</v>
      </c>
      <c r="Q23" s="50">
        <v>1</v>
      </c>
      <c r="R23" s="50">
        <v>1</v>
      </c>
      <c r="S23" s="50">
        <v>1</v>
      </c>
      <c r="T23" s="50">
        <v>1</v>
      </c>
      <c r="U23" s="50">
        <v>1</v>
      </c>
      <c r="V23" s="50">
        <v>1</v>
      </c>
      <c r="W23" s="51">
        <v>1</v>
      </c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  <c r="BT23" s="10"/>
      <c r="BU23" s="10"/>
      <c r="BV23" s="10"/>
      <c r="BW23" s="10"/>
      <c r="BX23" s="10"/>
      <c r="BY23" s="10"/>
      <c r="BZ23" s="10"/>
      <c r="CA23" s="10"/>
      <c r="CB23" s="10"/>
      <c r="CC23" s="10"/>
      <c r="CD23" s="10"/>
      <c r="CE23" s="10"/>
      <c r="CF23" s="10"/>
      <c r="CG23" s="10"/>
      <c r="CH23" s="10"/>
      <c r="CI23" s="10"/>
      <c r="CJ23" s="10"/>
      <c r="CK23" s="10"/>
      <c r="CL23" s="10"/>
      <c r="CM23" s="10"/>
      <c r="CN23" s="10"/>
      <c r="CO23" s="10"/>
      <c r="CP23" s="10"/>
      <c r="CQ23" s="10"/>
      <c r="CR23" s="10"/>
      <c r="CS23" s="10"/>
      <c r="CT23" s="10"/>
      <c r="CU23" s="10"/>
      <c r="CV23" s="10"/>
      <c r="CW23" s="10"/>
      <c r="CX23" s="10"/>
      <c r="CY23" s="10"/>
      <c r="CZ23" s="10"/>
      <c r="DA23" s="10"/>
      <c r="DB23" s="10"/>
      <c r="DC23" s="10"/>
      <c r="DD23" s="10"/>
      <c r="DE23" s="10"/>
      <c r="DF23" s="10"/>
      <c r="DG23" s="10"/>
      <c r="DH23" s="10"/>
      <c r="DI23" s="10"/>
      <c r="DJ23" s="10"/>
      <c r="DK23" s="10"/>
      <c r="DL23" s="10"/>
      <c r="DM23" s="10"/>
      <c r="DN23" s="10"/>
      <c r="DO23" s="10"/>
      <c r="DP23" s="10"/>
      <c r="DQ23" s="10"/>
      <c r="DR23" s="10"/>
      <c r="DS23" s="10"/>
      <c r="DT23" s="10"/>
      <c r="DU23" s="10"/>
      <c r="DV23" s="10"/>
      <c r="DW23" s="10"/>
      <c r="DX23" s="10"/>
      <c r="DY23" s="10"/>
      <c r="DZ23" s="10"/>
      <c r="EA23" s="10"/>
      <c r="EB23" s="10"/>
      <c r="EC23" s="10"/>
      <c r="ED23" s="10"/>
      <c r="EE23" s="10"/>
      <c r="EF23" s="10"/>
      <c r="EG23" s="10"/>
      <c r="EH23" s="10"/>
      <c r="EI23" s="10"/>
      <c r="EJ23" s="10"/>
      <c r="EK23" s="10"/>
      <c r="EL23" s="10"/>
      <c r="EM23" s="10"/>
      <c r="EN23" s="10"/>
      <c r="EO23" s="10"/>
      <c r="EP23" s="10"/>
      <c r="EQ23" s="10"/>
      <c r="ER23" s="10"/>
      <c r="ES23" s="10"/>
      <c r="ET23" s="10"/>
      <c r="EU23" s="10"/>
      <c r="EV23" s="10"/>
      <c r="EW23" s="10"/>
      <c r="EX23" s="10"/>
      <c r="EY23" s="10"/>
      <c r="EZ23" s="10"/>
      <c r="FA23" s="10"/>
      <c r="FB23" s="10"/>
      <c r="FC23" s="10"/>
      <c r="FD23" s="10"/>
      <c r="FE23" s="10"/>
    </row>
    <row r="24" spans="1:161" x14ac:dyDescent="0.25"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  <c r="BT24" s="10"/>
      <c r="BU24" s="10"/>
      <c r="BV24" s="10"/>
      <c r="BW24" s="10"/>
      <c r="BX24" s="10"/>
      <c r="BY24" s="10"/>
      <c r="BZ24" s="10"/>
      <c r="CA24" s="10"/>
      <c r="CB24" s="10"/>
      <c r="CC24" s="10"/>
      <c r="CD24" s="10"/>
      <c r="CE24" s="10"/>
      <c r="CF24" s="10"/>
      <c r="CG24" s="10"/>
      <c r="CH24" s="10"/>
      <c r="CI24" s="10"/>
      <c r="CJ24" s="10"/>
      <c r="CK24" s="10"/>
      <c r="CL24" s="10"/>
      <c r="CM24" s="10"/>
      <c r="CN24" s="10"/>
      <c r="CO24" s="10"/>
      <c r="CP24" s="10"/>
      <c r="CQ24" s="10"/>
      <c r="CR24" s="10"/>
      <c r="CS24" s="10"/>
      <c r="CT24" s="10"/>
      <c r="CU24" s="10"/>
      <c r="CV24" s="10"/>
      <c r="CW24" s="10"/>
      <c r="CX24" s="10"/>
      <c r="CY24" s="10"/>
      <c r="CZ24" s="10"/>
      <c r="DA24" s="10"/>
      <c r="DB24" s="10"/>
      <c r="DC24" s="10"/>
      <c r="DD24" s="10"/>
      <c r="DE24" s="10"/>
      <c r="DF24" s="10"/>
      <c r="DG24" s="10"/>
      <c r="DH24" s="10"/>
      <c r="DI24" s="10"/>
      <c r="DJ24" s="10"/>
      <c r="DK24" s="10"/>
      <c r="DL24" s="10"/>
      <c r="DM24" s="10"/>
      <c r="DN24" s="10"/>
      <c r="DO24" s="10"/>
      <c r="DP24" s="10"/>
      <c r="DQ24" s="10"/>
      <c r="DR24" s="10"/>
      <c r="DS24" s="10"/>
      <c r="DT24" s="10"/>
      <c r="DU24" s="10"/>
      <c r="DV24" s="10"/>
      <c r="DW24" s="10"/>
      <c r="DX24" s="10"/>
      <c r="DY24" s="10"/>
      <c r="DZ24" s="10"/>
      <c r="EA24" s="10"/>
      <c r="EB24" s="10"/>
      <c r="EC24" s="10"/>
      <c r="ED24" s="10"/>
      <c r="EE24" s="10"/>
      <c r="EF24" s="10"/>
      <c r="EG24" s="10"/>
      <c r="EH24" s="10"/>
      <c r="EI24" s="10"/>
      <c r="EJ24" s="10"/>
      <c r="EK24" s="10"/>
      <c r="EL24" s="10"/>
      <c r="EM24" s="10"/>
      <c r="EN24" s="10"/>
      <c r="EO24" s="10"/>
      <c r="EP24" s="10"/>
      <c r="EQ24" s="10"/>
      <c r="ER24" s="10"/>
      <c r="ES24" s="10"/>
      <c r="ET24" s="10"/>
      <c r="EU24" s="10"/>
      <c r="EV24" s="10"/>
      <c r="EW24" s="10"/>
      <c r="EX24" s="10"/>
      <c r="EY24" s="10"/>
      <c r="EZ24" s="10"/>
      <c r="FA24" s="10"/>
      <c r="FB24" s="10"/>
      <c r="FC24" s="10"/>
      <c r="FD24" s="10"/>
      <c r="FE24" s="10"/>
    </row>
    <row r="25" spans="1:161" x14ac:dyDescent="0.25"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  <c r="BT25" s="10"/>
      <c r="BU25" s="10"/>
      <c r="BV25" s="10"/>
      <c r="BW25" s="10"/>
      <c r="BX25" s="10"/>
      <c r="BY25" s="10"/>
      <c r="BZ25" s="10"/>
      <c r="CA25" s="10"/>
      <c r="CB25" s="10"/>
      <c r="CC25" s="10"/>
      <c r="CD25" s="10"/>
      <c r="CE25" s="10"/>
      <c r="CF25" s="10"/>
      <c r="CG25" s="10"/>
      <c r="CH25" s="10"/>
      <c r="CI25" s="10"/>
      <c r="CJ25" s="10"/>
      <c r="CK25" s="10"/>
      <c r="CL25" s="10"/>
      <c r="CM25" s="10"/>
      <c r="CN25" s="10"/>
      <c r="CO25" s="10"/>
      <c r="CP25" s="10"/>
      <c r="CQ25" s="10"/>
      <c r="CR25" s="10"/>
      <c r="CS25" s="10"/>
      <c r="CT25" s="10"/>
      <c r="CU25" s="10"/>
      <c r="CV25" s="10"/>
      <c r="CW25" s="10"/>
      <c r="CX25" s="10"/>
      <c r="CY25" s="10"/>
      <c r="CZ25" s="10"/>
      <c r="DA25" s="10"/>
      <c r="DB25" s="10"/>
      <c r="DC25" s="10"/>
      <c r="DD25" s="10"/>
      <c r="DE25" s="10"/>
      <c r="DF25" s="10"/>
      <c r="DG25" s="10"/>
      <c r="DH25" s="10"/>
      <c r="DI25" s="10"/>
      <c r="DJ25" s="10"/>
      <c r="DK25" s="10"/>
      <c r="DL25" s="10"/>
      <c r="DM25" s="10"/>
      <c r="DN25" s="10"/>
      <c r="DO25" s="10"/>
      <c r="DP25" s="10"/>
      <c r="DQ25" s="10"/>
      <c r="DR25" s="10"/>
      <c r="DS25" s="10"/>
      <c r="DT25" s="10"/>
      <c r="DU25" s="10"/>
      <c r="DV25" s="10"/>
      <c r="DW25" s="10"/>
      <c r="DX25" s="10"/>
      <c r="DY25" s="10"/>
      <c r="DZ25" s="10"/>
      <c r="EA25" s="10"/>
      <c r="EB25" s="10"/>
      <c r="EC25" s="10"/>
      <c r="ED25" s="10"/>
      <c r="EE25" s="10"/>
      <c r="EF25" s="10"/>
      <c r="EG25" s="10"/>
      <c r="EH25" s="10"/>
      <c r="EI25" s="10"/>
      <c r="EJ25" s="10"/>
      <c r="EK25" s="10"/>
      <c r="EL25" s="10"/>
      <c r="EM25" s="10"/>
      <c r="EN25" s="10"/>
      <c r="EO25" s="10"/>
      <c r="EP25" s="10"/>
      <c r="EQ25" s="10"/>
      <c r="ER25" s="10"/>
      <c r="ES25" s="10"/>
      <c r="ET25" s="10"/>
      <c r="EU25" s="10"/>
      <c r="EV25" s="10"/>
      <c r="EW25" s="10"/>
      <c r="EX25" s="10"/>
      <c r="EY25" s="10"/>
      <c r="EZ25" s="10"/>
      <c r="FA25" s="10"/>
      <c r="FB25" s="10"/>
      <c r="FC25" s="10"/>
      <c r="FD25" s="10"/>
      <c r="FE25" s="10"/>
    </row>
    <row r="26" spans="1:161" x14ac:dyDescent="0.25"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  <c r="BT26" s="10"/>
      <c r="BU26" s="10"/>
      <c r="BV26" s="10"/>
      <c r="BW26" s="10"/>
      <c r="BX26" s="10"/>
      <c r="BY26" s="10"/>
      <c r="BZ26" s="10"/>
      <c r="CA26" s="10"/>
      <c r="CB26" s="10"/>
      <c r="CC26" s="10"/>
      <c r="CD26" s="10"/>
      <c r="CE26" s="10"/>
      <c r="CF26" s="10"/>
      <c r="CG26" s="10"/>
      <c r="CH26" s="10"/>
      <c r="CI26" s="10"/>
      <c r="CJ26" s="10"/>
      <c r="CK26" s="10"/>
      <c r="CL26" s="10"/>
      <c r="CM26" s="10"/>
      <c r="CN26" s="10"/>
      <c r="CO26" s="10"/>
      <c r="CP26" s="10"/>
      <c r="CQ26" s="10"/>
      <c r="CR26" s="10"/>
      <c r="CS26" s="10"/>
      <c r="CT26" s="10"/>
      <c r="CU26" s="10"/>
      <c r="CV26" s="10"/>
      <c r="CW26" s="10"/>
      <c r="CX26" s="10"/>
      <c r="CY26" s="10"/>
      <c r="CZ26" s="10"/>
      <c r="DA26" s="10"/>
      <c r="DB26" s="10"/>
      <c r="DC26" s="10"/>
      <c r="DD26" s="10"/>
      <c r="DE26" s="10"/>
      <c r="DF26" s="10"/>
      <c r="DG26" s="10"/>
      <c r="DH26" s="10"/>
      <c r="DI26" s="10"/>
      <c r="DJ26" s="10"/>
      <c r="DK26" s="10"/>
      <c r="DL26" s="10"/>
      <c r="DM26" s="10"/>
      <c r="DN26" s="10"/>
      <c r="DO26" s="10"/>
      <c r="DP26" s="10"/>
      <c r="DQ26" s="10"/>
      <c r="DR26" s="10"/>
      <c r="DS26" s="10"/>
      <c r="DT26" s="10"/>
      <c r="DU26" s="10"/>
      <c r="DV26" s="10"/>
      <c r="DW26" s="10"/>
      <c r="DX26" s="10"/>
      <c r="DY26" s="10"/>
      <c r="DZ26" s="10"/>
      <c r="EA26" s="10"/>
      <c r="EB26" s="10"/>
      <c r="EC26" s="10"/>
      <c r="ED26" s="10"/>
      <c r="EE26" s="10"/>
      <c r="EF26" s="10"/>
      <c r="EG26" s="10"/>
      <c r="EH26" s="10"/>
      <c r="EI26" s="10"/>
      <c r="EJ26" s="10"/>
      <c r="EK26" s="10"/>
      <c r="EL26" s="10"/>
      <c r="EM26" s="10"/>
      <c r="EN26" s="10"/>
      <c r="EO26" s="10"/>
      <c r="EP26" s="10"/>
      <c r="EQ26" s="10"/>
      <c r="ER26" s="10"/>
      <c r="ES26" s="10"/>
      <c r="ET26" s="10"/>
      <c r="EU26" s="10"/>
      <c r="EV26" s="10"/>
      <c r="EW26" s="10"/>
      <c r="EX26" s="10"/>
      <c r="EY26" s="10"/>
      <c r="EZ26" s="10"/>
      <c r="FA26" s="10"/>
      <c r="FB26" s="10"/>
      <c r="FC26" s="10"/>
      <c r="FD26" s="10"/>
      <c r="FE26" s="10"/>
    </row>
    <row r="27" spans="1:161" x14ac:dyDescent="0.25"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  <c r="BT27" s="10"/>
      <c r="BU27" s="10"/>
      <c r="BV27" s="10"/>
      <c r="BW27" s="10"/>
      <c r="BX27" s="10"/>
      <c r="BY27" s="10"/>
      <c r="BZ27" s="10"/>
      <c r="CA27" s="10"/>
      <c r="CB27" s="10"/>
      <c r="CC27" s="10"/>
      <c r="CD27" s="10"/>
      <c r="CE27" s="10"/>
      <c r="CF27" s="10"/>
      <c r="CG27" s="10"/>
      <c r="CH27" s="10"/>
      <c r="CI27" s="10"/>
      <c r="CJ27" s="10"/>
      <c r="CK27" s="10"/>
      <c r="CL27" s="10"/>
      <c r="CM27" s="10"/>
      <c r="CN27" s="10"/>
      <c r="CO27" s="10"/>
      <c r="CP27" s="10"/>
      <c r="CQ27" s="10"/>
      <c r="CR27" s="10"/>
      <c r="CS27" s="10"/>
      <c r="CT27" s="10"/>
      <c r="CU27" s="10"/>
      <c r="CV27" s="10"/>
      <c r="CW27" s="10"/>
      <c r="CX27" s="10"/>
      <c r="CY27" s="10"/>
      <c r="CZ27" s="10"/>
      <c r="DA27" s="10"/>
      <c r="DB27" s="10"/>
      <c r="DC27" s="10"/>
      <c r="DD27" s="10"/>
      <c r="DE27" s="10"/>
      <c r="DF27" s="10"/>
      <c r="DG27" s="10"/>
      <c r="DH27" s="10"/>
      <c r="DI27" s="10"/>
      <c r="DJ27" s="10"/>
      <c r="DK27" s="10"/>
      <c r="DL27" s="10"/>
      <c r="DM27" s="10"/>
      <c r="DN27" s="10"/>
      <c r="DO27" s="10"/>
      <c r="DP27" s="10"/>
      <c r="DQ27" s="10"/>
      <c r="DR27" s="10"/>
      <c r="DS27" s="10"/>
      <c r="DT27" s="10"/>
      <c r="DU27" s="10"/>
      <c r="DV27" s="10"/>
      <c r="DW27" s="10"/>
      <c r="DX27" s="10"/>
      <c r="DY27" s="10"/>
      <c r="DZ27" s="10"/>
      <c r="EA27" s="10"/>
      <c r="EB27" s="10"/>
      <c r="EC27" s="10"/>
      <c r="ED27" s="10"/>
      <c r="EE27" s="10"/>
      <c r="EF27" s="10"/>
      <c r="EG27" s="10"/>
      <c r="EH27" s="10"/>
      <c r="EI27" s="10"/>
      <c r="EJ27" s="10"/>
      <c r="EK27" s="10"/>
      <c r="EL27" s="10"/>
      <c r="EM27" s="10"/>
      <c r="EN27" s="10"/>
      <c r="EO27" s="10"/>
      <c r="EP27" s="10"/>
      <c r="EQ27" s="10"/>
      <c r="ER27" s="10"/>
      <c r="ES27" s="10"/>
      <c r="ET27" s="10"/>
      <c r="EU27" s="10"/>
      <c r="EV27" s="10"/>
      <c r="EW27" s="10"/>
      <c r="EX27" s="10"/>
      <c r="EY27" s="10"/>
      <c r="EZ27" s="10"/>
      <c r="FA27" s="10"/>
      <c r="FB27" s="10"/>
      <c r="FC27" s="10"/>
      <c r="FD27" s="10"/>
      <c r="FE27" s="10"/>
    </row>
    <row r="28" spans="1:161" x14ac:dyDescent="0.25"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  <c r="BT28" s="10"/>
      <c r="BU28" s="10"/>
      <c r="BV28" s="10"/>
      <c r="BW28" s="10"/>
      <c r="BX28" s="10"/>
      <c r="BY28" s="10"/>
      <c r="BZ28" s="10"/>
      <c r="CA28" s="10"/>
      <c r="CB28" s="10"/>
      <c r="CC28" s="10"/>
      <c r="CD28" s="10"/>
      <c r="CE28" s="10"/>
      <c r="CF28" s="10"/>
      <c r="CG28" s="10"/>
      <c r="CH28" s="10"/>
      <c r="CI28" s="10"/>
      <c r="CJ28" s="10"/>
      <c r="CK28" s="10"/>
      <c r="CL28" s="10"/>
      <c r="CM28" s="10"/>
      <c r="CN28" s="10"/>
      <c r="CO28" s="10"/>
      <c r="CP28" s="10"/>
      <c r="CQ28" s="10"/>
      <c r="CR28" s="10"/>
      <c r="CS28" s="10"/>
      <c r="CT28" s="10"/>
      <c r="CU28" s="10"/>
      <c r="CV28" s="10"/>
      <c r="CW28" s="10"/>
      <c r="CX28" s="10"/>
      <c r="CY28" s="10"/>
      <c r="CZ28" s="10"/>
      <c r="DA28" s="10"/>
      <c r="DB28" s="10"/>
      <c r="DC28" s="10"/>
      <c r="DD28" s="10"/>
      <c r="DE28" s="10"/>
      <c r="DF28" s="10"/>
      <c r="DG28" s="10"/>
      <c r="DH28" s="10"/>
      <c r="DI28" s="10"/>
      <c r="DJ28" s="10"/>
      <c r="DK28" s="10"/>
      <c r="DL28" s="10"/>
      <c r="DM28" s="10"/>
      <c r="DN28" s="10"/>
      <c r="DO28" s="10"/>
      <c r="DP28" s="10"/>
      <c r="DQ28" s="10"/>
      <c r="DR28" s="10"/>
      <c r="DS28" s="10"/>
      <c r="DT28" s="10"/>
      <c r="DU28" s="10"/>
      <c r="DV28" s="10"/>
      <c r="DW28" s="10"/>
      <c r="DX28" s="10"/>
      <c r="DY28" s="10"/>
      <c r="DZ28" s="10"/>
      <c r="EA28" s="10"/>
      <c r="EB28" s="10"/>
      <c r="EC28" s="10"/>
      <c r="ED28" s="10"/>
      <c r="EE28" s="10"/>
      <c r="EF28" s="10"/>
      <c r="EG28" s="10"/>
      <c r="EH28" s="10"/>
      <c r="EI28" s="10"/>
      <c r="EJ28" s="10"/>
      <c r="EK28" s="10"/>
      <c r="EL28" s="10"/>
      <c r="EM28" s="10"/>
      <c r="EN28" s="10"/>
      <c r="EO28" s="10"/>
      <c r="EP28" s="10"/>
      <c r="EQ28" s="10"/>
      <c r="ER28" s="10"/>
      <c r="ES28" s="10"/>
      <c r="ET28" s="10"/>
      <c r="EU28" s="10"/>
      <c r="EV28" s="10"/>
      <c r="EW28" s="10"/>
      <c r="EX28" s="10"/>
      <c r="EY28" s="10"/>
      <c r="EZ28" s="10"/>
      <c r="FA28" s="10"/>
      <c r="FB28" s="10"/>
      <c r="FC28" s="10"/>
      <c r="FD28" s="10"/>
      <c r="FE28" s="10"/>
    </row>
    <row r="29" spans="1:161" x14ac:dyDescent="0.25"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  <c r="BT29" s="10"/>
      <c r="BU29" s="10"/>
      <c r="BV29" s="10"/>
      <c r="BW29" s="10"/>
      <c r="BX29" s="10"/>
      <c r="BY29" s="10"/>
      <c r="BZ29" s="10"/>
      <c r="CA29" s="10"/>
      <c r="CB29" s="10"/>
      <c r="CC29" s="10"/>
      <c r="CD29" s="10"/>
      <c r="CE29" s="10"/>
      <c r="CF29" s="10"/>
      <c r="CG29" s="10"/>
      <c r="CH29" s="10"/>
      <c r="CI29" s="10"/>
      <c r="CJ29" s="10"/>
      <c r="CK29" s="10"/>
      <c r="CL29" s="10"/>
      <c r="CM29" s="10"/>
      <c r="CN29" s="10"/>
      <c r="CO29" s="10"/>
      <c r="CP29" s="10"/>
      <c r="CQ29" s="10"/>
      <c r="CR29" s="10"/>
      <c r="CS29" s="10"/>
      <c r="CT29" s="10"/>
      <c r="CU29" s="10"/>
      <c r="CV29" s="10"/>
      <c r="CW29" s="10"/>
      <c r="CX29" s="10"/>
      <c r="CY29" s="10"/>
      <c r="CZ29" s="10"/>
      <c r="DA29" s="10"/>
      <c r="DB29" s="10"/>
      <c r="DC29" s="10"/>
      <c r="DD29" s="10"/>
      <c r="DE29" s="10"/>
      <c r="DF29" s="10"/>
      <c r="DG29" s="10"/>
      <c r="DH29" s="10"/>
      <c r="DI29" s="10"/>
      <c r="DJ29" s="10"/>
      <c r="DK29" s="10"/>
      <c r="DL29" s="10"/>
      <c r="DM29" s="10"/>
      <c r="DN29" s="10"/>
      <c r="DO29" s="10"/>
      <c r="DP29" s="10"/>
      <c r="DQ29" s="10"/>
      <c r="DR29" s="10"/>
      <c r="DS29" s="10"/>
      <c r="DT29" s="10"/>
      <c r="DU29" s="10"/>
      <c r="DV29" s="10"/>
      <c r="DW29" s="10"/>
      <c r="DX29" s="10"/>
      <c r="DY29" s="10"/>
      <c r="DZ29" s="10"/>
      <c r="EA29" s="10"/>
      <c r="EB29" s="10"/>
      <c r="EC29" s="10"/>
      <c r="ED29" s="10"/>
      <c r="EE29" s="10"/>
      <c r="EF29" s="10"/>
      <c r="EG29" s="10"/>
      <c r="EH29" s="10"/>
      <c r="EI29" s="10"/>
      <c r="EJ29" s="10"/>
      <c r="EK29" s="10"/>
      <c r="EL29" s="10"/>
      <c r="EM29" s="10"/>
      <c r="EN29" s="10"/>
      <c r="EO29" s="10"/>
      <c r="EP29" s="10"/>
      <c r="EQ29" s="10"/>
      <c r="ER29" s="10"/>
      <c r="ES29" s="10"/>
      <c r="ET29" s="10"/>
      <c r="EU29" s="10"/>
      <c r="EV29" s="10"/>
      <c r="EW29" s="10"/>
      <c r="EX29" s="10"/>
      <c r="EY29" s="10"/>
      <c r="EZ29" s="10"/>
      <c r="FA29" s="10"/>
      <c r="FB29" s="10"/>
      <c r="FC29" s="10"/>
      <c r="FD29" s="10"/>
      <c r="FE29" s="10"/>
    </row>
    <row r="30" spans="1:161" x14ac:dyDescent="0.25"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  <c r="BT30" s="10"/>
      <c r="BU30" s="10"/>
      <c r="BV30" s="10"/>
      <c r="BW30" s="10"/>
      <c r="BX30" s="10"/>
      <c r="BY30" s="10"/>
      <c r="BZ30" s="10"/>
      <c r="CA30" s="10"/>
      <c r="CB30" s="10"/>
      <c r="CC30" s="10"/>
      <c r="CD30" s="10"/>
      <c r="CE30" s="10"/>
      <c r="CF30" s="10"/>
      <c r="CG30" s="10"/>
      <c r="CH30" s="10"/>
      <c r="CI30" s="10"/>
      <c r="CJ30" s="10"/>
      <c r="CK30" s="10"/>
      <c r="CL30" s="10"/>
      <c r="CM30" s="10"/>
      <c r="CN30" s="10"/>
      <c r="CO30" s="10"/>
      <c r="CP30" s="10"/>
      <c r="CQ30" s="10"/>
      <c r="CR30" s="10"/>
      <c r="CS30" s="10"/>
      <c r="CT30" s="10"/>
      <c r="CU30" s="10"/>
      <c r="CV30" s="10"/>
      <c r="CW30" s="10"/>
      <c r="CX30" s="10"/>
      <c r="CY30" s="10"/>
      <c r="CZ30" s="10"/>
      <c r="DA30" s="10"/>
      <c r="DB30" s="10"/>
      <c r="DC30" s="10"/>
      <c r="DD30" s="10"/>
      <c r="DE30" s="10"/>
      <c r="DF30" s="10"/>
      <c r="DG30" s="10"/>
      <c r="DH30" s="10"/>
      <c r="DI30" s="10"/>
      <c r="DJ30" s="10"/>
      <c r="DK30" s="10"/>
      <c r="DL30" s="10"/>
      <c r="DM30" s="10"/>
      <c r="DN30" s="10"/>
      <c r="DO30" s="10"/>
      <c r="DP30" s="10"/>
      <c r="DQ30" s="10"/>
      <c r="DR30" s="10"/>
      <c r="DS30" s="10"/>
      <c r="DT30" s="10"/>
      <c r="DU30" s="10"/>
      <c r="DV30" s="10"/>
      <c r="DW30" s="10"/>
      <c r="DX30" s="10"/>
      <c r="DY30" s="10"/>
      <c r="DZ30" s="10"/>
      <c r="EA30" s="10"/>
      <c r="EB30" s="10"/>
      <c r="EC30" s="10"/>
      <c r="ED30" s="10"/>
      <c r="EE30" s="10"/>
      <c r="EF30" s="10"/>
      <c r="EG30" s="10"/>
      <c r="EH30" s="10"/>
      <c r="EI30" s="10"/>
      <c r="EJ30" s="10"/>
      <c r="EK30" s="10"/>
      <c r="EL30" s="10"/>
      <c r="EM30" s="10"/>
      <c r="EN30" s="10"/>
      <c r="EO30" s="10"/>
      <c r="EP30" s="10"/>
      <c r="EQ30" s="10"/>
      <c r="ER30" s="10"/>
      <c r="ES30" s="10"/>
      <c r="ET30" s="10"/>
      <c r="EU30" s="10"/>
      <c r="EV30" s="10"/>
      <c r="EW30" s="10"/>
      <c r="EX30" s="10"/>
      <c r="EY30" s="10"/>
      <c r="EZ30" s="10"/>
      <c r="FA30" s="10"/>
      <c r="FB30" s="10"/>
      <c r="FC30" s="10"/>
      <c r="FD30" s="10"/>
      <c r="FE30" s="10"/>
    </row>
    <row r="31" spans="1:161" x14ac:dyDescent="0.25"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  <c r="BT31" s="10"/>
      <c r="BU31" s="10"/>
      <c r="BV31" s="10"/>
      <c r="BW31" s="10"/>
      <c r="BX31" s="10"/>
      <c r="BY31" s="10"/>
      <c r="BZ31" s="10"/>
      <c r="CA31" s="10"/>
      <c r="CB31" s="10"/>
      <c r="CC31" s="10"/>
      <c r="CD31" s="10"/>
      <c r="CE31" s="10"/>
      <c r="CF31" s="10"/>
      <c r="CG31" s="10"/>
      <c r="CH31" s="10"/>
      <c r="CI31" s="10"/>
      <c r="CJ31" s="10"/>
      <c r="CK31" s="10"/>
      <c r="CL31" s="10"/>
      <c r="CM31" s="10"/>
      <c r="CN31" s="10"/>
      <c r="CO31" s="10"/>
      <c r="CP31" s="10"/>
      <c r="CQ31" s="10"/>
      <c r="CR31" s="10"/>
      <c r="CS31" s="10"/>
      <c r="CT31" s="10"/>
      <c r="CU31" s="10"/>
      <c r="CV31" s="10"/>
      <c r="CW31" s="10"/>
      <c r="CX31" s="10"/>
      <c r="CY31" s="10"/>
      <c r="CZ31" s="10"/>
      <c r="DA31" s="10"/>
      <c r="DB31" s="10"/>
      <c r="DC31" s="10"/>
      <c r="DD31" s="10"/>
      <c r="DE31" s="10"/>
      <c r="DF31" s="10"/>
      <c r="DG31" s="10"/>
      <c r="DH31" s="10"/>
      <c r="DI31" s="10"/>
      <c r="DJ31" s="10"/>
      <c r="DK31" s="10"/>
      <c r="DL31" s="10"/>
      <c r="DM31" s="10"/>
      <c r="DN31" s="10"/>
      <c r="DO31" s="10"/>
      <c r="DP31" s="10"/>
      <c r="DQ31" s="10"/>
      <c r="DR31" s="10"/>
      <c r="DS31" s="10"/>
      <c r="DT31" s="10"/>
      <c r="DU31" s="10"/>
      <c r="DV31" s="10"/>
      <c r="DW31" s="10"/>
      <c r="DX31" s="10"/>
      <c r="DY31" s="10"/>
      <c r="DZ31" s="10"/>
      <c r="EA31" s="10"/>
      <c r="EB31" s="10"/>
      <c r="EC31" s="10"/>
      <c r="ED31" s="10"/>
      <c r="EE31" s="10"/>
      <c r="EF31" s="10"/>
      <c r="EG31" s="10"/>
      <c r="EH31" s="10"/>
      <c r="EI31" s="10"/>
      <c r="EJ31" s="10"/>
      <c r="EK31" s="10"/>
      <c r="EL31" s="10"/>
      <c r="EM31" s="10"/>
      <c r="EN31" s="10"/>
      <c r="EO31" s="10"/>
      <c r="EP31" s="10"/>
      <c r="EQ31" s="10"/>
      <c r="ER31" s="10"/>
      <c r="ES31" s="10"/>
      <c r="ET31" s="10"/>
      <c r="EU31" s="10"/>
      <c r="EV31" s="10"/>
      <c r="EW31" s="10"/>
      <c r="EX31" s="10"/>
      <c r="EY31" s="10"/>
      <c r="EZ31" s="10"/>
      <c r="FA31" s="10"/>
      <c r="FB31" s="10"/>
      <c r="FC31" s="10"/>
      <c r="FD31" s="10"/>
      <c r="FE31" s="10"/>
    </row>
    <row r="32" spans="1:161" x14ac:dyDescent="0.25"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  <c r="BT32" s="10"/>
      <c r="BU32" s="10"/>
      <c r="BV32" s="10"/>
      <c r="BW32" s="10"/>
      <c r="BX32" s="10"/>
      <c r="BY32" s="10"/>
      <c r="BZ32" s="10"/>
      <c r="CA32" s="10"/>
      <c r="CB32" s="10"/>
      <c r="CC32" s="10"/>
      <c r="CD32" s="10"/>
      <c r="CE32" s="10"/>
      <c r="CF32" s="10"/>
      <c r="CG32" s="10"/>
      <c r="CH32" s="10"/>
      <c r="CI32" s="10"/>
      <c r="CJ32" s="10"/>
      <c r="CK32" s="10"/>
      <c r="CL32" s="10"/>
      <c r="CM32" s="10"/>
      <c r="CN32" s="10"/>
      <c r="CO32" s="10"/>
      <c r="CP32" s="10"/>
      <c r="CQ32" s="10"/>
      <c r="CR32" s="10"/>
      <c r="CS32" s="10"/>
      <c r="CT32" s="10"/>
      <c r="CU32" s="10"/>
      <c r="CV32" s="10"/>
      <c r="CW32" s="10"/>
      <c r="CX32" s="10"/>
      <c r="CY32" s="10"/>
      <c r="CZ32" s="10"/>
      <c r="DA32" s="10"/>
      <c r="DB32" s="10"/>
      <c r="DC32" s="10"/>
      <c r="DD32" s="10"/>
      <c r="DE32" s="10"/>
      <c r="DF32" s="10"/>
      <c r="DG32" s="10"/>
      <c r="DH32" s="10"/>
      <c r="DI32" s="10"/>
      <c r="DJ32" s="10"/>
      <c r="DK32" s="10"/>
      <c r="DL32" s="10"/>
      <c r="DM32" s="10"/>
      <c r="DN32" s="10"/>
      <c r="DO32" s="10"/>
      <c r="DP32" s="10"/>
      <c r="DQ32" s="10"/>
      <c r="DR32" s="10"/>
      <c r="DS32" s="10"/>
      <c r="DT32" s="10"/>
      <c r="DU32" s="10"/>
      <c r="DV32" s="10"/>
      <c r="DW32" s="10"/>
      <c r="DX32" s="10"/>
      <c r="DY32" s="10"/>
      <c r="DZ32" s="10"/>
      <c r="EA32" s="10"/>
      <c r="EB32" s="10"/>
      <c r="EC32" s="10"/>
      <c r="ED32" s="10"/>
      <c r="EE32" s="10"/>
      <c r="EF32" s="10"/>
      <c r="EG32" s="10"/>
      <c r="EH32" s="10"/>
      <c r="EI32" s="10"/>
      <c r="EJ32" s="10"/>
      <c r="EK32" s="10"/>
      <c r="EL32" s="10"/>
      <c r="EM32" s="10"/>
      <c r="EN32" s="10"/>
      <c r="EO32" s="10"/>
      <c r="EP32" s="10"/>
      <c r="EQ32" s="10"/>
      <c r="ER32" s="10"/>
      <c r="ES32" s="10"/>
      <c r="ET32" s="10"/>
      <c r="EU32" s="10"/>
      <c r="EV32" s="10"/>
      <c r="EW32" s="10"/>
      <c r="EX32" s="10"/>
      <c r="EY32" s="10"/>
      <c r="EZ32" s="10"/>
      <c r="FA32" s="10"/>
      <c r="FB32" s="10"/>
      <c r="FC32" s="10"/>
      <c r="FD32" s="10"/>
      <c r="FE32" s="10"/>
    </row>
    <row r="33" spans="2:161" x14ac:dyDescent="0.25"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  <c r="BT33" s="10"/>
      <c r="BU33" s="10"/>
      <c r="BV33" s="10"/>
      <c r="BW33" s="10"/>
      <c r="BX33" s="10"/>
      <c r="BY33" s="10"/>
      <c r="BZ33" s="10"/>
      <c r="CA33" s="10"/>
      <c r="CB33" s="10"/>
      <c r="CC33" s="10"/>
      <c r="CD33" s="10"/>
      <c r="CE33" s="10"/>
      <c r="CF33" s="10"/>
      <c r="CG33" s="10"/>
      <c r="CH33" s="10"/>
      <c r="CI33" s="10"/>
      <c r="CJ33" s="10"/>
      <c r="CK33" s="10"/>
      <c r="CL33" s="10"/>
      <c r="CM33" s="10"/>
      <c r="CN33" s="10"/>
      <c r="CO33" s="10"/>
      <c r="CP33" s="10"/>
      <c r="CQ33" s="10"/>
      <c r="CR33" s="10"/>
      <c r="CS33" s="10"/>
      <c r="CT33" s="10"/>
      <c r="CU33" s="10"/>
      <c r="CV33" s="10"/>
      <c r="CW33" s="10"/>
      <c r="CX33" s="10"/>
      <c r="CY33" s="10"/>
      <c r="CZ33" s="10"/>
      <c r="DA33" s="10"/>
      <c r="DB33" s="10"/>
      <c r="DC33" s="10"/>
      <c r="DD33" s="10"/>
      <c r="DE33" s="10"/>
      <c r="DF33" s="10"/>
      <c r="DG33" s="10"/>
      <c r="DH33" s="10"/>
      <c r="DI33" s="10"/>
      <c r="DJ33" s="10"/>
      <c r="DK33" s="10"/>
      <c r="DL33" s="10"/>
      <c r="DM33" s="10"/>
      <c r="DN33" s="10"/>
      <c r="DO33" s="10"/>
      <c r="DP33" s="10"/>
      <c r="DQ33" s="10"/>
      <c r="DR33" s="10"/>
      <c r="DS33" s="10"/>
      <c r="DT33" s="10"/>
      <c r="DU33" s="10"/>
      <c r="DV33" s="10"/>
      <c r="DW33" s="10"/>
      <c r="DX33" s="10"/>
      <c r="DY33" s="10"/>
      <c r="DZ33" s="10"/>
      <c r="EA33" s="10"/>
      <c r="EB33" s="10"/>
      <c r="EC33" s="10"/>
      <c r="ED33" s="10"/>
      <c r="EE33" s="10"/>
      <c r="EF33" s="10"/>
      <c r="EG33" s="10"/>
      <c r="EH33" s="10"/>
      <c r="EI33" s="10"/>
      <c r="EJ33" s="10"/>
      <c r="EK33" s="10"/>
      <c r="EL33" s="10"/>
      <c r="EM33" s="10"/>
      <c r="EN33" s="10"/>
      <c r="EO33" s="10"/>
      <c r="EP33" s="10"/>
      <c r="EQ33" s="10"/>
      <c r="ER33" s="10"/>
      <c r="ES33" s="10"/>
      <c r="ET33" s="10"/>
      <c r="EU33" s="10"/>
      <c r="EV33" s="10"/>
      <c r="EW33" s="10"/>
      <c r="EX33" s="10"/>
      <c r="EY33" s="10"/>
      <c r="EZ33" s="10"/>
      <c r="FA33" s="10"/>
      <c r="FB33" s="10"/>
      <c r="FC33" s="10"/>
      <c r="FD33" s="10"/>
      <c r="FE33" s="10"/>
    </row>
    <row r="34" spans="2:161" x14ac:dyDescent="0.25"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  <c r="BT34" s="10"/>
      <c r="BU34" s="10"/>
      <c r="BV34" s="10"/>
      <c r="BW34" s="10"/>
      <c r="BX34" s="10"/>
      <c r="BY34" s="10"/>
      <c r="BZ34" s="10"/>
      <c r="CA34" s="10"/>
      <c r="CB34" s="10"/>
      <c r="CC34" s="10"/>
      <c r="CD34" s="10"/>
      <c r="CE34" s="10"/>
      <c r="CF34" s="10"/>
      <c r="CG34" s="10"/>
      <c r="CH34" s="10"/>
      <c r="CI34" s="10"/>
      <c r="CJ34" s="10"/>
      <c r="CK34" s="10"/>
      <c r="CL34" s="10"/>
      <c r="CM34" s="10"/>
      <c r="CN34" s="10"/>
      <c r="CO34" s="10"/>
      <c r="CP34" s="10"/>
      <c r="CQ34" s="10"/>
      <c r="CR34" s="10"/>
      <c r="CS34" s="10"/>
      <c r="CT34" s="10"/>
      <c r="CU34" s="10"/>
      <c r="CV34" s="10"/>
      <c r="CW34" s="10"/>
      <c r="CX34" s="10"/>
      <c r="CY34" s="10"/>
      <c r="CZ34" s="10"/>
      <c r="DA34" s="10"/>
      <c r="DB34" s="10"/>
      <c r="DC34" s="10"/>
      <c r="DD34" s="10"/>
      <c r="DE34" s="10"/>
      <c r="DF34" s="10"/>
      <c r="DG34" s="10"/>
      <c r="DH34" s="10"/>
      <c r="DI34" s="10"/>
      <c r="DJ34" s="10"/>
      <c r="DK34" s="10"/>
      <c r="DL34" s="10"/>
      <c r="DM34" s="10"/>
      <c r="DN34" s="10"/>
      <c r="DO34" s="10"/>
      <c r="DP34" s="10"/>
      <c r="DQ34" s="10"/>
      <c r="DR34" s="10"/>
      <c r="DS34" s="10"/>
      <c r="DT34" s="10"/>
      <c r="DU34" s="10"/>
      <c r="DV34" s="10"/>
      <c r="DW34" s="10"/>
      <c r="DX34" s="10"/>
      <c r="DY34" s="10"/>
      <c r="DZ34" s="10"/>
      <c r="EA34" s="10"/>
      <c r="EB34" s="10"/>
      <c r="EC34" s="10"/>
      <c r="ED34" s="10"/>
      <c r="EE34" s="10"/>
      <c r="EF34" s="10"/>
      <c r="EG34" s="10"/>
      <c r="EH34" s="10"/>
      <c r="EI34" s="10"/>
      <c r="EJ34" s="10"/>
      <c r="EK34" s="10"/>
      <c r="EL34" s="10"/>
      <c r="EM34" s="10"/>
      <c r="EN34" s="10"/>
      <c r="EO34" s="10"/>
      <c r="EP34" s="10"/>
      <c r="EQ34" s="10"/>
      <c r="ER34" s="10"/>
      <c r="ES34" s="10"/>
      <c r="ET34" s="10"/>
      <c r="EU34" s="10"/>
      <c r="EV34" s="10"/>
      <c r="EW34" s="10"/>
      <c r="EX34" s="10"/>
      <c r="EY34" s="10"/>
      <c r="EZ34" s="10"/>
      <c r="FA34" s="10"/>
      <c r="FB34" s="10"/>
      <c r="FC34" s="10"/>
      <c r="FD34" s="10"/>
      <c r="FE34" s="10"/>
    </row>
    <row r="35" spans="2:161" x14ac:dyDescent="0.25"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  <c r="BT35" s="10"/>
      <c r="BU35" s="10"/>
      <c r="BV35" s="10"/>
      <c r="BW35" s="10"/>
      <c r="BX35" s="10"/>
      <c r="BY35" s="10"/>
      <c r="BZ35" s="10"/>
      <c r="CA35" s="10"/>
      <c r="CB35" s="10"/>
      <c r="CC35" s="10"/>
      <c r="CD35" s="10"/>
      <c r="CE35" s="10"/>
      <c r="CF35" s="10"/>
      <c r="CG35" s="10"/>
      <c r="CH35" s="10"/>
      <c r="CI35" s="10"/>
      <c r="CJ35" s="10"/>
      <c r="CK35" s="10"/>
      <c r="CL35" s="10"/>
      <c r="CM35" s="10"/>
      <c r="CN35" s="10"/>
      <c r="CO35" s="10"/>
      <c r="CP35" s="10"/>
      <c r="CQ35" s="10"/>
      <c r="CR35" s="10"/>
      <c r="CS35" s="10"/>
      <c r="CT35" s="10"/>
      <c r="CU35" s="10"/>
      <c r="CV35" s="10"/>
      <c r="CW35" s="10"/>
      <c r="CX35" s="10"/>
      <c r="CY35" s="10"/>
      <c r="CZ35" s="10"/>
      <c r="DA35" s="10"/>
      <c r="DB35" s="10"/>
      <c r="DC35" s="10"/>
      <c r="DD35" s="10"/>
      <c r="DE35" s="10"/>
      <c r="DF35" s="10"/>
      <c r="DG35" s="10"/>
      <c r="DH35" s="10"/>
      <c r="DI35" s="10"/>
      <c r="DJ35" s="10"/>
      <c r="DK35" s="10"/>
      <c r="DL35" s="10"/>
      <c r="DM35" s="10"/>
      <c r="DN35" s="10"/>
      <c r="DO35" s="10"/>
      <c r="DP35" s="10"/>
      <c r="DQ35" s="10"/>
      <c r="DR35" s="10"/>
      <c r="DS35" s="10"/>
      <c r="DT35" s="10"/>
      <c r="DU35" s="10"/>
      <c r="DV35" s="10"/>
      <c r="DW35" s="10"/>
      <c r="DX35" s="10"/>
      <c r="DY35" s="10"/>
      <c r="DZ35" s="10"/>
      <c r="EA35" s="10"/>
      <c r="EB35" s="10"/>
      <c r="EC35" s="10"/>
      <c r="ED35" s="10"/>
      <c r="EE35" s="10"/>
      <c r="EF35" s="10"/>
      <c r="EG35" s="10"/>
      <c r="EH35" s="10"/>
      <c r="EI35" s="10"/>
      <c r="EJ35" s="10"/>
      <c r="EK35" s="10"/>
      <c r="EL35" s="10"/>
      <c r="EM35" s="10"/>
      <c r="EN35" s="10"/>
      <c r="EO35" s="10"/>
      <c r="EP35" s="10"/>
      <c r="EQ35" s="10"/>
      <c r="ER35" s="10"/>
      <c r="ES35" s="10"/>
      <c r="ET35" s="10"/>
      <c r="EU35" s="10"/>
      <c r="EV35" s="10"/>
      <c r="EW35" s="10"/>
      <c r="EX35" s="10"/>
      <c r="EY35" s="10"/>
      <c r="EZ35" s="10"/>
      <c r="FA35" s="10"/>
      <c r="FB35" s="10"/>
      <c r="FC35" s="10"/>
      <c r="FD35" s="10"/>
      <c r="FE35" s="10"/>
    </row>
    <row r="36" spans="2:161" x14ac:dyDescent="0.25"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  <c r="BT36" s="10"/>
      <c r="BU36" s="10"/>
      <c r="BV36" s="10"/>
      <c r="BW36" s="10"/>
      <c r="BX36" s="10"/>
      <c r="BY36" s="10"/>
      <c r="BZ36" s="10"/>
      <c r="CA36" s="10"/>
      <c r="CB36" s="10"/>
      <c r="CC36" s="10"/>
      <c r="CD36" s="10"/>
      <c r="CE36" s="10"/>
      <c r="CF36" s="10"/>
      <c r="CG36" s="10"/>
      <c r="CH36" s="10"/>
      <c r="CI36" s="10"/>
      <c r="CJ36" s="10"/>
      <c r="CK36" s="10"/>
      <c r="CL36" s="10"/>
      <c r="CM36" s="10"/>
      <c r="CN36" s="10"/>
      <c r="CO36" s="10"/>
      <c r="CP36" s="10"/>
      <c r="CQ36" s="10"/>
      <c r="CR36" s="10"/>
      <c r="CS36" s="10"/>
      <c r="CT36" s="10"/>
      <c r="CU36" s="10"/>
      <c r="CV36" s="10"/>
      <c r="CW36" s="10"/>
      <c r="CX36" s="10"/>
      <c r="CY36" s="10"/>
      <c r="CZ36" s="10"/>
      <c r="DA36" s="10"/>
      <c r="DB36" s="10"/>
      <c r="DC36" s="10"/>
      <c r="DD36" s="10"/>
      <c r="DE36" s="10"/>
      <c r="DF36" s="10"/>
      <c r="DG36" s="10"/>
      <c r="DH36" s="10"/>
      <c r="DI36" s="10"/>
      <c r="DJ36" s="10"/>
      <c r="DK36" s="10"/>
      <c r="DL36" s="10"/>
      <c r="DM36" s="10"/>
      <c r="DN36" s="10"/>
      <c r="DO36" s="10"/>
      <c r="DP36" s="10"/>
      <c r="DQ36" s="10"/>
      <c r="DR36" s="10"/>
      <c r="DS36" s="10"/>
      <c r="DT36" s="10"/>
      <c r="DU36" s="10"/>
      <c r="DV36" s="10"/>
      <c r="DW36" s="10"/>
      <c r="DX36" s="10"/>
      <c r="DY36" s="10"/>
      <c r="DZ36" s="10"/>
      <c r="EA36" s="10"/>
      <c r="EB36" s="10"/>
      <c r="EC36" s="10"/>
      <c r="ED36" s="10"/>
      <c r="EE36" s="10"/>
      <c r="EF36" s="10"/>
      <c r="EG36" s="10"/>
      <c r="EH36" s="10"/>
      <c r="EI36" s="10"/>
      <c r="EJ36" s="10"/>
      <c r="EK36" s="10"/>
      <c r="EL36" s="10"/>
      <c r="EM36" s="10"/>
      <c r="EN36" s="10"/>
      <c r="EO36" s="10"/>
      <c r="EP36" s="10"/>
      <c r="EQ36" s="10"/>
      <c r="ER36" s="10"/>
      <c r="ES36" s="10"/>
      <c r="ET36" s="10"/>
      <c r="EU36" s="10"/>
      <c r="EV36" s="10"/>
      <c r="EW36" s="10"/>
      <c r="EX36" s="10"/>
      <c r="EY36" s="10"/>
      <c r="EZ36" s="10"/>
      <c r="FA36" s="10"/>
      <c r="FB36" s="10"/>
      <c r="FC36" s="10"/>
      <c r="FD36" s="10"/>
      <c r="FE36" s="10"/>
    </row>
    <row r="37" spans="2:161" x14ac:dyDescent="0.25"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  <c r="BT37" s="10"/>
      <c r="BU37" s="10"/>
      <c r="BV37" s="10"/>
      <c r="BW37" s="10"/>
      <c r="BX37" s="10"/>
      <c r="BY37" s="10"/>
      <c r="BZ37" s="10"/>
      <c r="CA37" s="10"/>
      <c r="CB37" s="10"/>
      <c r="CC37" s="10"/>
      <c r="CD37" s="10"/>
      <c r="CE37" s="10"/>
      <c r="CF37" s="10"/>
      <c r="CG37" s="10"/>
      <c r="CH37" s="10"/>
      <c r="CI37" s="10"/>
      <c r="CJ37" s="10"/>
      <c r="CK37" s="10"/>
      <c r="CL37" s="10"/>
      <c r="CM37" s="10"/>
      <c r="CN37" s="10"/>
      <c r="CO37" s="10"/>
      <c r="CP37" s="10"/>
      <c r="CQ37" s="10"/>
      <c r="CR37" s="10"/>
      <c r="CS37" s="10"/>
      <c r="CT37" s="10"/>
      <c r="CU37" s="10"/>
      <c r="CV37" s="10"/>
      <c r="CW37" s="10"/>
      <c r="CX37" s="10"/>
      <c r="CY37" s="10"/>
      <c r="CZ37" s="10"/>
      <c r="DA37" s="10"/>
      <c r="DB37" s="10"/>
      <c r="DC37" s="10"/>
      <c r="DD37" s="10"/>
      <c r="DE37" s="10"/>
      <c r="DF37" s="10"/>
      <c r="DG37" s="10"/>
      <c r="DH37" s="10"/>
      <c r="DI37" s="10"/>
      <c r="DJ37" s="10"/>
      <c r="DK37" s="10"/>
      <c r="DL37" s="10"/>
      <c r="DM37" s="10"/>
      <c r="DN37" s="10"/>
      <c r="DO37" s="10"/>
      <c r="DP37" s="10"/>
      <c r="DQ37" s="10"/>
      <c r="DR37" s="10"/>
      <c r="DS37" s="10"/>
      <c r="DT37" s="10"/>
      <c r="DU37" s="10"/>
      <c r="DV37" s="10"/>
      <c r="DW37" s="10"/>
      <c r="DX37" s="10"/>
      <c r="DY37" s="10"/>
      <c r="DZ37" s="10"/>
      <c r="EA37" s="10"/>
      <c r="EB37" s="10"/>
      <c r="EC37" s="10"/>
      <c r="ED37" s="10"/>
      <c r="EE37" s="10"/>
      <c r="EF37" s="10"/>
      <c r="EG37" s="10"/>
      <c r="EH37" s="10"/>
      <c r="EI37" s="10"/>
      <c r="EJ37" s="10"/>
      <c r="EK37" s="10"/>
      <c r="EL37" s="10"/>
      <c r="EM37" s="10"/>
      <c r="EN37" s="10"/>
      <c r="EO37" s="10"/>
      <c r="EP37" s="10"/>
      <c r="EQ37" s="10"/>
      <c r="ER37" s="10"/>
      <c r="ES37" s="10"/>
      <c r="ET37" s="10"/>
      <c r="EU37" s="10"/>
      <c r="EV37" s="10"/>
      <c r="EW37" s="10"/>
      <c r="EX37" s="10"/>
      <c r="EY37" s="10"/>
      <c r="EZ37" s="10"/>
      <c r="FA37" s="10"/>
      <c r="FB37" s="10"/>
      <c r="FC37" s="10"/>
      <c r="FD37" s="10"/>
      <c r="FE37" s="10"/>
    </row>
    <row r="38" spans="2:161" x14ac:dyDescent="0.25"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  <c r="BT38" s="10"/>
      <c r="BU38" s="10"/>
      <c r="BV38" s="10"/>
      <c r="BW38" s="10"/>
      <c r="BX38" s="10"/>
      <c r="BY38" s="10"/>
      <c r="BZ38" s="10"/>
      <c r="CA38" s="10"/>
      <c r="CB38" s="10"/>
      <c r="CC38" s="10"/>
      <c r="CD38" s="10"/>
      <c r="CE38" s="10"/>
      <c r="CF38" s="10"/>
      <c r="CG38" s="10"/>
      <c r="CH38" s="10"/>
      <c r="CI38" s="10"/>
      <c r="CJ38" s="10"/>
      <c r="CK38" s="10"/>
      <c r="CL38" s="10"/>
      <c r="CM38" s="10"/>
      <c r="CN38" s="10"/>
      <c r="CO38" s="10"/>
      <c r="CP38" s="10"/>
      <c r="CQ38" s="10"/>
      <c r="CR38" s="10"/>
      <c r="CS38" s="10"/>
      <c r="CT38" s="10"/>
      <c r="CU38" s="10"/>
      <c r="CV38" s="10"/>
      <c r="CW38" s="10"/>
      <c r="CX38" s="10"/>
      <c r="CY38" s="10"/>
      <c r="CZ38" s="10"/>
      <c r="DA38" s="10"/>
      <c r="DB38" s="10"/>
      <c r="DC38" s="10"/>
      <c r="DD38" s="10"/>
      <c r="DE38" s="10"/>
      <c r="DF38" s="10"/>
      <c r="DG38" s="10"/>
      <c r="DH38" s="10"/>
      <c r="DI38" s="10"/>
      <c r="DJ38" s="10"/>
      <c r="DK38" s="10"/>
      <c r="DL38" s="10"/>
      <c r="DM38" s="10"/>
      <c r="DN38" s="10"/>
      <c r="DO38" s="10"/>
      <c r="DP38" s="10"/>
      <c r="DQ38" s="10"/>
      <c r="DR38" s="10"/>
      <c r="DS38" s="10"/>
      <c r="DT38" s="10"/>
      <c r="DU38" s="10"/>
      <c r="DV38" s="10"/>
      <c r="DW38" s="10"/>
      <c r="DX38" s="10"/>
      <c r="DY38" s="10"/>
      <c r="DZ38" s="10"/>
      <c r="EA38" s="10"/>
      <c r="EB38" s="10"/>
      <c r="EC38" s="10"/>
      <c r="ED38" s="10"/>
      <c r="EE38" s="10"/>
      <c r="EF38" s="10"/>
      <c r="EG38" s="10"/>
      <c r="EH38" s="10"/>
      <c r="EI38" s="10"/>
      <c r="EJ38" s="10"/>
      <c r="EK38" s="10"/>
      <c r="EL38" s="10"/>
      <c r="EM38" s="10"/>
      <c r="EN38" s="10"/>
      <c r="EO38" s="10"/>
      <c r="EP38" s="10"/>
      <c r="EQ38" s="10"/>
      <c r="ER38" s="10"/>
      <c r="ES38" s="10"/>
      <c r="ET38" s="10"/>
      <c r="EU38" s="10"/>
      <c r="EV38" s="10"/>
      <c r="EW38" s="10"/>
      <c r="EX38" s="10"/>
      <c r="EY38" s="10"/>
      <c r="EZ38" s="10"/>
      <c r="FA38" s="10"/>
      <c r="FB38" s="10"/>
      <c r="FC38" s="10"/>
      <c r="FD38" s="10"/>
      <c r="FE38" s="10"/>
    </row>
    <row r="39" spans="2:161" x14ac:dyDescent="0.25"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  <c r="BT39" s="10"/>
      <c r="BU39" s="10"/>
      <c r="BV39" s="10"/>
      <c r="BW39" s="10"/>
      <c r="BX39" s="10"/>
      <c r="BY39" s="10"/>
      <c r="BZ39" s="10"/>
      <c r="CA39" s="10"/>
      <c r="CB39" s="10"/>
      <c r="CC39" s="10"/>
      <c r="CD39" s="10"/>
      <c r="CE39" s="10"/>
      <c r="CF39" s="10"/>
      <c r="CG39" s="10"/>
      <c r="CH39" s="10"/>
      <c r="CI39" s="10"/>
      <c r="CJ39" s="10"/>
      <c r="CK39" s="10"/>
      <c r="CL39" s="10"/>
      <c r="CM39" s="10"/>
      <c r="CN39" s="10"/>
      <c r="CO39" s="10"/>
      <c r="CP39" s="10"/>
      <c r="CQ39" s="10"/>
      <c r="CR39" s="10"/>
      <c r="CS39" s="10"/>
      <c r="CT39" s="10"/>
      <c r="CU39" s="10"/>
      <c r="CV39" s="10"/>
      <c r="CW39" s="10"/>
      <c r="CX39" s="10"/>
      <c r="CY39" s="10"/>
      <c r="CZ39" s="10"/>
      <c r="DA39" s="10"/>
      <c r="DB39" s="10"/>
      <c r="DC39" s="10"/>
      <c r="DD39" s="10"/>
      <c r="DE39" s="10"/>
      <c r="DF39" s="10"/>
      <c r="DG39" s="10"/>
      <c r="DH39" s="10"/>
      <c r="DI39" s="10"/>
      <c r="DJ39" s="10"/>
      <c r="DK39" s="10"/>
      <c r="DL39" s="10"/>
      <c r="DM39" s="10"/>
      <c r="DN39" s="10"/>
      <c r="DO39" s="10"/>
      <c r="DP39" s="10"/>
      <c r="DQ39" s="10"/>
      <c r="DR39" s="10"/>
      <c r="DS39" s="10"/>
      <c r="DT39" s="10"/>
      <c r="DU39" s="10"/>
      <c r="DV39" s="10"/>
      <c r="DW39" s="10"/>
      <c r="DX39" s="10"/>
      <c r="DY39" s="10"/>
      <c r="DZ39" s="10"/>
      <c r="EA39" s="10"/>
      <c r="EB39" s="10"/>
      <c r="EC39" s="10"/>
      <c r="ED39" s="10"/>
      <c r="EE39" s="10"/>
      <c r="EF39" s="10"/>
      <c r="EG39" s="10"/>
      <c r="EH39" s="10"/>
      <c r="EI39" s="10"/>
      <c r="EJ39" s="10"/>
      <c r="EK39" s="10"/>
      <c r="EL39" s="10"/>
      <c r="EM39" s="10"/>
      <c r="EN39" s="10"/>
      <c r="EO39" s="10"/>
      <c r="EP39" s="10"/>
      <c r="EQ39" s="10"/>
      <c r="ER39" s="10"/>
      <c r="ES39" s="10"/>
      <c r="ET39" s="10"/>
      <c r="EU39" s="10"/>
      <c r="EV39" s="10"/>
      <c r="EW39" s="10"/>
      <c r="EX39" s="10"/>
      <c r="EY39" s="10"/>
      <c r="EZ39" s="10"/>
      <c r="FA39" s="10"/>
      <c r="FB39" s="10"/>
      <c r="FC39" s="10"/>
      <c r="FD39" s="10"/>
      <c r="FE39" s="10"/>
    </row>
    <row r="40" spans="2:161" x14ac:dyDescent="0.25"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  <c r="BT40" s="10"/>
      <c r="BU40" s="10"/>
      <c r="BV40" s="10"/>
      <c r="BW40" s="10"/>
      <c r="BX40" s="10"/>
      <c r="BY40" s="10"/>
      <c r="BZ40" s="10"/>
      <c r="CA40" s="10"/>
      <c r="CB40" s="10"/>
      <c r="CC40" s="10"/>
      <c r="CD40" s="10"/>
      <c r="CE40" s="10"/>
      <c r="CF40" s="10"/>
      <c r="CG40" s="10"/>
      <c r="CH40" s="10"/>
      <c r="CI40" s="10"/>
      <c r="CJ40" s="10"/>
      <c r="CK40" s="10"/>
      <c r="CL40" s="10"/>
      <c r="CM40" s="10"/>
      <c r="CN40" s="10"/>
      <c r="CO40" s="10"/>
      <c r="CP40" s="10"/>
      <c r="CQ40" s="10"/>
      <c r="CR40" s="10"/>
      <c r="CS40" s="10"/>
      <c r="CT40" s="10"/>
      <c r="CU40" s="10"/>
      <c r="CV40" s="10"/>
      <c r="CW40" s="10"/>
      <c r="CX40" s="10"/>
      <c r="CY40" s="10"/>
      <c r="CZ40" s="10"/>
      <c r="DA40" s="10"/>
      <c r="DB40" s="10"/>
      <c r="DC40" s="10"/>
      <c r="DD40" s="10"/>
      <c r="DE40" s="10"/>
      <c r="DF40" s="10"/>
      <c r="DG40" s="10"/>
      <c r="DH40" s="10"/>
      <c r="DI40" s="10"/>
      <c r="DJ40" s="10"/>
      <c r="DK40" s="10"/>
      <c r="DL40" s="10"/>
      <c r="DM40" s="10"/>
      <c r="DN40" s="10"/>
      <c r="DO40" s="10"/>
      <c r="DP40" s="10"/>
      <c r="DQ40" s="10"/>
      <c r="DR40" s="10"/>
      <c r="DS40" s="10"/>
      <c r="DT40" s="10"/>
      <c r="DU40" s="10"/>
      <c r="DV40" s="10"/>
      <c r="DW40" s="10"/>
      <c r="DX40" s="10"/>
      <c r="DY40" s="10"/>
      <c r="DZ40" s="10"/>
      <c r="EA40" s="10"/>
      <c r="EB40" s="10"/>
      <c r="EC40" s="10"/>
      <c r="ED40" s="10"/>
      <c r="EE40" s="10"/>
      <c r="EF40" s="10"/>
      <c r="EG40" s="10"/>
      <c r="EH40" s="10"/>
      <c r="EI40" s="10"/>
      <c r="EJ40" s="10"/>
      <c r="EK40" s="10"/>
      <c r="EL40" s="10"/>
      <c r="EM40" s="10"/>
      <c r="EN40" s="10"/>
      <c r="EO40" s="10"/>
      <c r="EP40" s="10"/>
      <c r="EQ40" s="10"/>
      <c r="ER40" s="10"/>
      <c r="ES40" s="10"/>
      <c r="ET40" s="10"/>
      <c r="EU40" s="10"/>
      <c r="EV40" s="10"/>
      <c r="EW40" s="10"/>
      <c r="EX40" s="10"/>
      <c r="EY40" s="10"/>
      <c r="EZ40" s="10"/>
      <c r="FA40" s="10"/>
      <c r="FB40" s="10"/>
      <c r="FC40" s="10"/>
      <c r="FD40" s="10"/>
      <c r="FE40" s="10"/>
    </row>
    <row r="41" spans="2:161" x14ac:dyDescent="0.25"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  <c r="BT41" s="10"/>
      <c r="BU41" s="10"/>
      <c r="BV41" s="10"/>
      <c r="BW41" s="10"/>
      <c r="BX41" s="10"/>
      <c r="BY41" s="10"/>
      <c r="BZ41" s="10"/>
      <c r="CA41" s="10"/>
      <c r="CB41" s="10"/>
      <c r="CC41" s="10"/>
      <c r="CD41" s="10"/>
      <c r="CE41" s="10"/>
      <c r="CF41" s="10"/>
      <c r="CG41" s="10"/>
      <c r="CH41" s="10"/>
      <c r="CI41" s="10"/>
      <c r="CJ41" s="10"/>
      <c r="CK41" s="10"/>
      <c r="CL41" s="10"/>
      <c r="CM41" s="10"/>
      <c r="CN41" s="10"/>
      <c r="CO41" s="10"/>
      <c r="CP41" s="10"/>
      <c r="CQ41" s="10"/>
      <c r="CR41" s="10"/>
      <c r="CS41" s="10"/>
      <c r="CT41" s="10"/>
      <c r="CU41" s="10"/>
      <c r="CV41" s="10"/>
      <c r="CW41" s="10"/>
      <c r="CX41" s="10"/>
      <c r="CY41" s="10"/>
      <c r="CZ41" s="10"/>
      <c r="DA41" s="10"/>
      <c r="DB41" s="10"/>
      <c r="DC41" s="10"/>
      <c r="DD41" s="10"/>
      <c r="DE41" s="10"/>
      <c r="DF41" s="10"/>
      <c r="DG41" s="10"/>
      <c r="DH41" s="10"/>
      <c r="DI41" s="10"/>
      <c r="DJ41" s="10"/>
      <c r="DK41" s="10"/>
      <c r="DL41" s="10"/>
      <c r="DM41" s="10"/>
      <c r="DN41" s="10"/>
      <c r="DO41" s="10"/>
      <c r="DP41" s="10"/>
      <c r="DQ41" s="10"/>
      <c r="DR41" s="10"/>
      <c r="DS41" s="10"/>
      <c r="DT41" s="10"/>
      <c r="DU41" s="10"/>
      <c r="DV41" s="10"/>
      <c r="DW41" s="10"/>
      <c r="DX41" s="10"/>
      <c r="DY41" s="10"/>
      <c r="DZ41" s="10"/>
      <c r="EA41" s="10"/>
      <c r="EB41" s="10"/>
      <c r="EC41" s="10"/>
      <c r="ED41" s="10"/>
      <c r="EE41" s="10"/>
      <c r="EF41" s="10"/>
      <c r="EG41" s="10"/>
      <c r="EH41" s="10"/>
      <c r="EI41" s="10"/>
      <c r="EJ41" s="10"/>
      <c r="EK41" s="10"/>
      <c r="EL41" s="10"/>
      <c r="EM41" s="10"/>
      <c r="EN41" s="10"/>
      <c r="EO41" s="10"/>
      <c r="EP41" s="10"/>
      <c r="EQ41" s="10"/>
      <c r="ER41" s="10"/>
      <c r="ES41" s="10"/>
      <c r="ET41" s="10"/>
      <c r="EU41" s="10"/>
      <c r="EV41" s="10"/>
      <c r="EW41" s="10"/>
      <c r="EX41" s="10"/>
      <c r="EY41" s="10"/>
      <c r="EZ41" s="10"/>
      <c r="FA41" s="10"/>
      <c r="FB41" s="10"/>
      <c r="FC41" s="10"/>
      <c r="FD41" s="10"/>
      <c r="FE41" s="10"/>
    </row>
    <row r="42" spans="2:161" x14ac:dyDescent="0.25"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  <c r="BT42" s="10"/>
      <c r="BU42" s="10"/>
      <c r="BV42" s="10"/>
      <c r="BW42" s="10"/>
      <c r="BX42" s="10"/>
      <c r="BY42" s="10"/>
      <c r="BZ42" s="10"/>
      <c r="CA42" s="10"/>
      <c r="CB42" s="10"/>
      <c r="CC42" s="10"/>
      <c r="CD42" s="10"/>
      <c r="CE42" s="10"/>
      <c r="CF42" s="10"/>
      <c r="CG42" s="10"/>
      <c r="CH42" s="10"/>
      <c r="CI42" s="10"/>
      <c r="CJ42" s="10"/>
      <c r="CK42" s="10"/>
      <c r="CL42" s="10"/>
      <c r="CM42" s="10"/>
      <c r="CN42" s="10"/>
      <c r="CO42" s="10"/>
      <c r="CP42" s="10"/>
      <c r="CQ42" s="10"/>
      <c r="CR42" s="10"/>
      <c r="CS42" s="10"/>
      <c r="CT42" s="10"/>
      <c r="CU42" s="10"/>
      <c r="CV42" s="10"/>
      <c r="CW42" s="10"/>
      <c r="CX42" s="10"/>
      <c r="CY42" s="10"/>
      <c r="CZ42" s="10"/>
      <c r="DA42" s="10"/>
      <c r="DB42" s="10"/>
      <c r="DC42" s="10"/>
      <c r="DD42" s="10"/>
      <c r="DE42" s="10"/>
      <c r="DF42" s="10"/>
      <c r="DG42" s="10"/>
      <c r="DH42" s="10"/>
      <c r="DI42" s="10"/>
      <c r="DJ42" s="10"/>
      <c r="DK42" s="10"/>
      <c r="DL42" s="10"/>
      <c r="DM42" s="10"/>
      <c r="DN42" s="10"/>
      <c r="DO42" s="10"/>
      <c r="DP42" s="10"/>
      <c r="DQ42" s="10"/>
      <c r="DR42" s="10"/>
      <c r="DS42" s="10"/>
      <c r="DT42" s="10"/>
      <c r="DU42" s="10"/>
      <c r="DV42" s="10"/>
      <c r="DW42" s="10"/>
      <c r="DX42" s="10"/>
      <c r="DY42" s="10"/>
      <c r="DZ42" s="10"/>
      <c r="EA42" s="10"/>
      <c r="EB42" s="10"/>
      <c r="EC42" s="10"/>
      <c r="ED42" s="10"/>
      <c r="EE42" s="10"/>
      <c r="EF42" s="10"/>
      <c r="EG42" s="10"/>
      <c r="EH42" s="10"/>
      <c r="EI42" s="10"/>
      <c r="EJ42" s="10"/>
      <c r="EK42" s="10"/>
      <c r="EL42" s="10"/>
      <c r="EM42" s="10"/>
      <c r="EN42" s="10"/>
      <c r="EO42" s="10"/>
      <c r="EP42" s="10"/>
      <c r="EQ42" s="10"/>
      <c r="ER42" s="10"/>
      <c r="ES42" s="10"/>
      <c r="ET42" s="10"/>
      <c r="EU42" s="10"/>
      <c r="EV42" s="10"/>
      <c r="EW42" s="10"/>
      <c r="EX42" s="10"/>
      <c r="EY42" s="10"/>
      <c r="EZ42" s="10"/>
      <c r="FA42" s="10"/>
      <c r="FB42" s="10"/>
      <c r="FC42" s="10"/>
      <c r="FD42" s="10"/>
      <c r="FE42" s="10"/>
    </row>
    <row r="43" spans="2:161" x14ac:dyDescent="0.25"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  <c r="BT43" s="10"/>
      <c r="BU43" s="10"/>
      <c r="BV43" s="10"/>
      <c r="BW43" s="10"/>
      <c r="BX43" s="10"/>
      <c r="BY43" s="10"/>
      <c r="BZ43" s="10"/>
      <c r="CA43" s="10"/>
      <c r="CB43" s="10"/>
      <c r="CC43" s="10"/>
      <c r="CD43" s="10"/>
      <c r="CE43" s="10"/>
      <c r="CF43" s="10"/>
      <c r="CG43" s="10"/>
      <c r="CH43" s="10"/>
      <c r="CI43" s="10"/>
      <c r="CJ43" s="10"/>
      <c r="CK43" s="10"/>
      <c r="CL43" s="10"/>
      <c r="CM43" s="10"/>
      <c r="CN43" s="10"/>
      <c r="CO43" s="10"/>
      <c r="CP43" s="10"/>
      <c r="CQ43" s="10"/>
      <c r="CR43" s="10"/>
      <c r="CS43" s="10"/>
      <c r="CT43" s="10"/>
      <c r="CU43" s="10"/>
      <c r="CV43" s="10"/>
      <c r="CW43" s="10"/>
      <c r="CX43" s="10"/>
      <c r="CY43" s="10"/>
      <c r="CZ43" s="10"/>
      <c r="DA43" s="10"/>
      <c r="DB43" s="10"/>
      <c r="DC43" s="10"/>
      <c r="DD43" s="10"/>
      <c r="DE43" s="10"/>
      <c r="DF43" s="10"/>
      <c r="DG43" s="10"/>
      <c r="DH43" s="10"/>
      <c r="DI43" s="10"/>
      <c r="DJ43" s="10"/>
      <c r="DK43" s="10"/>
      <c r="DL43" s="10"/>
      <c r="DM43" s="10"/>
      <c r="DN43" s="10"/>
      <c r="DO43" s="10"/>
      <c r="DP43" s="10"/>
      <c r="DQ43" s="10"/>
      <c r="DR43" s="10"/>
      <c r="DS43" s="10"/>
      <c r="DT43" s="10"/>
      <c r="DU43" s="10"/>
      <c r="DV43" s="10"/>
      <c r="DW43" s="10"/>
      <c r="DX43" s="10"/>
      <c r="DY43" s="10"/>
      <c r="DZ43" s="10"/>
      <c r="EA43" s="10"/>
      <c r="EB43" s="10"/>
      <c r="EC43" s="10"/>
      <c r="ED43" s="10"/>
      <c r="EE43" s="10"/>
      <c r="EF43" s="10"/>
      <c r="EG43" s="10"/>
      <c r="EH43" s="10"/>
      <c r="EI43" s="10"/>
      <c r="EJ43" s="10"/>
      <c r="EK43" s="10"/>
      <c r="EL43" s="10"/>
      <c r="EM43" s="10"/>
      <c r="EN43" s="10"/>
      <c r="EO43" s="10"/>
      <c r="EP43" s="10"/>
      <c r="EQ43" s="10"/>
      <c r="ER43" s="10"/>
      <c r="ES43" s="10"/>
      <c r="ET43" s="10"/>
      <c r="EU43" s="10"/>
      <c r="EV43" s="10"/>
      <c r="EW43" s="10"/>
      <c r="EX43" s="10"/>
      <c r="EY43" s="10"/>
      <c r="EZ43" s="10"/>
      <c r="FA43" s="10"/>
      <c r="FB43" s="10"/>
      <c r="FC43" s="10"/>
      <c r="FD43" s="10"/>
      <c r="FE43" s="10"/>
    </row>
    <row r="44" spans="2:161" x14ac:dyDescent="0.25"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  <c r="BT44" s="10"/>
      <c r="BU44" s="10"/>
      <c r="BV44" s="10"/>
      <c r="BW44" s="10"/>
      <c r="BX44" s="10"/>
      <c r="BY44" s="10"/>
      <c r="BZ44" s="10"/>
      <c r="CA44" s="10"/>
      <c r="CB44" s="10"/>
      <c r="CC44" s="10"/>
      <c r="CD44" s="10"/>
      <c r="CE44" s="10"/>
      <c r="CF44" s="10"/>
      <c r="CG44" s="10"/>
      <c r="CH44" s="10"/>
      <c r="CI44" s="10"/>
      <c r="CJ44" s="10"/>
      <c r="CK44" s="10"/>
      <c r="CL44" s="10"/>
      <c r="CM44" s="10"/>
      <c r="CN44" s="10"/>
      <c r="CO44" s="10"/>
      <c r="CP44" s="10"/>
      <c r="CQ44" s="10"/>
      <c r="CR44" s="10"/>
      <c r="CS44" s="10"/>
      <c r="CT44" s="10"/>
      <c r="CU44" s="10"/>
      <c r="CV44" s="10"/>
      <c r="CW44" s="10"/>
      <c r="CX44" s="10"/>
      <c r="CY44" s="10"/>
      <c r="CZ44" s="10"/>
      <c r="DA44" s="10"/>
      <c r="DB44" s="10"/>
      <c r="DC44" s="10"/>
      <c r="DD44" s="10"/>
      <c r="DE44" s="10"/>
      <c r="DF44" s="10"/>
      <c r="DG44" s="10"/>
      <c r="DH44" s="10"/>
      <c r="DI44" s="10"/>
      <c r="DJ44" s="10"/>
      <c r="DK44" s="10"/>
      <c r="DL44" s="10"/>
      <c r="DM44" s="10"/>
      <c r="DN44" s="10"/>
      <c r="DO44" s="10"/>
      <c r="DP44" s="10"/>
      <c r="DQ44" s="10"/>
      <c r="DR44" s="10"/>
      <c r="DS44" s="10"/>
      <c r="DT44" s="10"/>
      <c r="DU44" s="10"/>
      <c r="DV44" s="10"/>
      <c r="DW44" s="10"/>
      <c r="DX44" s="10"/>
      <c r="DY44" s="10"/>
      <c r="DZ44" s="10"/>
      <c r="EA44" s="10"/>
      <c r="EB44" s="10"/>
      <c r="EC44" s="10"/>
      <c r="ED44" s="10"/>
      <c r="EE44" s="10"/>
      <c r="EF44" s="10"/>
      <c r="EG44" s="10"/>
      <c r="EH44" s="10"/>
      <c r="EI44" s="10"/>
      <c r="EJ44" s="10"/>
      <c r="EK44" s="10"/>
      <c r="EL44" s="10"/>
      <c r="EM44" s="10"/>
      <c r="EN44" s="10"/>
      <c r="EO44" s="10"/>
      <c r="EP44" s="10"/>
      <c r="EQ44" s="10"/>
      <c r="ER44" s="10"/>
      <c r="ES44" s="10"/>
      <c r="ET44" s="10"/>
      <c r="EU44" s="10"/>
      <c r="EV44" s="10"/>
      <c r="EW44" s="10"/>
      <c r="EX44" s="10"/>
      <c r="EY44" s="10"/>
      <c r="EZ44" s="10"/>
      <c r="FA44" s="10"/>
      <c r="FB44" s="10"/>
      <c r="FC44" s="10"/>
      <c r="FD44" s="10"/>
      <c r="FE44" s="10"/>
    </row>
    <row r="45" spans="2:161" x14ac:dyDescent="0.25"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  <c r="BT45" s="10"/>
      <c r="BU45" s="10"/>
      <c r="BV45" s="10"/>
      <c r="BW45" s="10"/>
      <c r="BX45" s="10"/>
      <c r="BY45" s="10"/>
      <c r="BZ45" s="10"/>
      <c r="CA45" s="10"/>
      <c r="CB45" s="10"/>
      <c r="CC45" s="10"/>
      <c r="CD45" s="10"/>
      <c r="CE45" s="10"/>
      <c r="CF45" s="10"/>
      <c r="CG45" s="10"/>
      <c r="CH45" s="10"/>
      <c r="CI45" s="10"/>
      <c r="CJ45" s="10"/>
      <c r="CK45" s="10"/>
      <c r="CL45" s="10"/>
      <c r="CM45" s="10"/>
      <c r="CN45" s="10"/>
      <c r="CO45" s="10"/>
      <c r="CP45" s="10"/>
      <c r="CQ45" s="10"/>
      <c r="CR45" s="10"/>
      <c r="CS45" s="10"/>
      <c r="CT45" s="10"/>
      <c r="CU45" s="10"/>
      <c r="CV45" s="10"/>
      <c r="CW45" s="10"/>
      <c r="CX45" s="10"/>
      <c r="CY45" s="10"/>
      <c r="CZ45" s="10"/>
      <c r="DA45" s="10"/>
      <c r="DB45" s="10"/>
      <c r="DC45" s="10"/>
      <c r="DD45" s="10"/>
      <c r="DE45" s="10"/>
      <c r="DF45" s="10"/>
      <c r="DG45" s="10"/>
      <c r="DH45" s="10"/>
      <c r="DI45" s="10"/>
      <c r="DJ45" s="10"/>
      <c r="DK45" s="10"/>
      <c r="DL45" s="10"/>
      <c r="DM45" s="10"/>
      <c r="DN45" s="10"/>
      <c r="DO45" s="10"/>
      <c r="DP45" s="10"/>
      <c r="DQ45" s="10"/>
      <c r="DR45" s="10"/>
      <c r="DS45" s="10"/>
      <c r="DT45" s="10"/>
      <c r="DU45" s="10"/>
      <c r="DV45" s="10"/>
      <c r="DW45" s="10"/>
      <c r="DX45" s="10"/>
      <c r="DY45" s="10"/>
      <c r="DZ45" s="10"/>
      <c r="EA45" s="10"/>
      <c r="EB45" s="10"/>
      <c r="EC45" s="10"/>
      <c r="ED45" s="10"/>
      <c r="EE45" s="10"/>
      <c r="EF45" s="10"/>
      <c r="EG45" s="10"/>
      <c r="EH45" s="10"/>
      <c r="EI45" s="10"/>
      <c r="EJ45" s="10"/>
      <c r="EK45" s="10"/>
      <c r="EL45" s="10"/>
      <c r="EM45" s="10"/>
      <c r="EN45" s="10"/>
      <c r="EO45" s="10"/>
      <c r="EP45" s="10"/>
      <c r="EQ45" s="10"/>
      <c r="ER45" s="10"/>
      <c r="ES45" s="10"/>
      <c r="ET45" s="10"/>
      <c r="EU45" s="10"/>
      <c r="EV45" s="10"/>
      <c r="EW45" s="10"/>
      <c r="EX45" s="10"/>
      <c r="EY45" s="10"/>
      <c r="EZ45" s="10"/>
      <c r="FA45" s="10"/>
      <c r="FB45" s="10"/>
      <c r="FC45" s="10"/>
      <c r="FD45" s="10"/>
      <c r="FE45" s="10"/>
    </row>
    <row r="46" spans="2:161" x14ac:dyDescent="0.25"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  <c r="BT46" s="10"/>
      <c r="BU46" s="10"/>
      <c r="BV46" s="10"/>
      <c r="BW46" s="10"/>
      <c r="BX46" s="10"/>
      <c r="BY46" s="10"/>
      <c r="BZ46" s="10"/>
      <c r="CA46" s="10"/>
      <c r="CB46" s="10"/>
      <c r="CC46" s="10"/>
      <c r="CD46" s="10"/>
      <c r="CE46" s="10"/>
      <c r="CF46" s="10"/>
      <c r="CG46" s="10"/>
      <c r="CH46" s="10"/>
      <c r="CI46" s="10"/>
      <c r="CJ46" s="10"/>
      <c r="CK46" s="10"/>
      <c r="CL46" s="10"/>
      <c r="CM46" s="10"/>
      <c r="CN46" s="10"/>
      <c r="CO46" s="10"/>
      <c r="CP46" s="10"/>
      <c r="CQ46" s="10"/>
      <c r="CR46" s="10"/>
      <c r="CS46" s="10"/>
      <c r="CT46" s="10"/>
      <c r="CU46" s="10"/>
      <c r="CV46" s="10"/>
      <c r="CW46" s="10"/>
      <c r="CX46" s="10"/>
      <c r="CY46" s="10"/>
      <c r="CZ46" s="10"/>
      <c r="DA46" s="10"/>
      <c r="DB46" s="10"/>
      <c r="DC46" s="10"/>
      <c r="DD46" s="10"/>
      <c r="DE46" s="10"/>
      <c r="DF46" s="10"/>
      <c r="DG46" s="10"/>
      <c r="DH46" s="10"/>
      <c r="DI46" s="10"/>
      <c r="DJ46" s="10"/>
      <c r="DK46" s="10"/>
      <c r="DL46" s="10"/>
      <c r="DM46" s="10"/>
      <c r="DN46" s="10"/>
      <c r="DO46" s="10"/>
      <c r="DP46" s="10"/>
      <c r="DQ46" s="10"/>
      <c r="DR46" s="10"/>
      <c r="DS46" s="10"/>
      <c r="DT46" s="10"/>
      <c r="DU46" s="10"/>
      <c r="DV46" s="10"/>
      <c r="DW46" s="10"/>
      <c r="DX46" s="10"/>
      <c r="DY46" s="10"/>
      <c r="DZ46" s="10"/>
      <c r="EA46" s="10"/>
      <c r="EB46" s="10"/>
      <c r="EC46" s="10"/>
      <c r="ED46" s="10"/>
      <c r="EE46" s="10"/>
      <c r="EF46" s="10"/>
      <c r="EG46" s="10"/>
      <c r="EH46" s="10"/>
      <c r="EI46" s="10"/>
      <c r="EJ46" s="10"/>
      <c r="EK46" s="10"/>
      <c r="EL46" s="10"/>
      <c r="EM46" s="10"/>
      <c r="EN46" s="10"/>
      <c r="EO46" s="10"/>
      <c r="EP46" s="10"/>
      <c r="EQ46" s="10"/>
      <c r="ER46" s="10"/>
      <c r="ES46" s="10"/>
      <c r="ET46" s="10"/>
      <c r="EU46" s="10"/>
      <c r="EV46" s="10"/>
      <c r="EW46" s="10"/>
      <c r="EX46" s="10"/>
      <c r="EY46" s="10"/>
      <c r="EZ46" s="10"/>
      <c r="FA46" s="10"/>
      <c r="FB46" s="10"/>
      <c r="FC46" s="10"/>
      <c r="FD46" s="10"/>
      <c r="FE46" s="10"/>
    </row>
    <row r="47" spans="2:161" x14ac:dyDescent="0.25"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  <c r="BT47" s="10"/>
      <c r="BU47" s="10"/>
      <c r="BV47" s="10"/>
      <c r="BW47" s="10"/>
      <c r="BX47" s="10"/>
      <c r="BY47" s="10"/>
      <c r="BZ47" s="10"/>
      <c r="CA47" s="10"/>
      <c r="CB47" s="10"/>
      <c r="CC47" s="10"/>
      <c r="CD47" s="10"/>
      <c r="CE47" s="10"/>
      <c r="CF47" s="10"/>
      <c r="CG47" s="10"/>
      <c r="CH47" s="10"/>
      <c r="CI47" s="10"/>
      <c r="CJ47" s="10"/>
      <c r="CK47" s="10"/>
      <c r="CL47" s="10"/>
      <c r="CM47" s="10"/>
      <c r="CN47" s="10"/>
      <c r="CO47" s="10"/>
      <c r="CP47" s="10"/>
      <c r="CQ47" s="10"/>
      <c r="CR47" s="10"/>
      <c r="CS47" s="10"/>
      <c r="CT47" s="10"/>
      <c r="CU47" s="10"/>
      <c r="CV47" s="10"/>
      <c r="CW47" s="10"/>
      <c r="CX47" s="10"/>
      <c r="CY47" s="10"/>
      <c r="CZ47" s="10"/>
      <c r="DA47" s="10"/>
      <c r="DB47" s="10"/>
      <c r="DC47" s="10"/>
      <c r="DD47" s="10"/>
      <c r="DE47" s="10"/>
      <c r="DF47" s="10"/>
      <c r="DG47" s="10"/>
      <c r="DH47" s="10"/>
      <c r="DI47" s="10"/>
      <c r="DJ47" s="10"/>
      <c r="DK47" s="10"/>
      <c r="DL47" s="10"/>
      <c r="DM47" s="10"/>
      <c r="DN47" s="10"/>
      <c r="DO47" s="10"/>
      <c r="DP47" s="10"/>
      <c r="DQ47" s="10"/>
      <c r="DR47" s="10"/>
      <c r="DS47" s="10"/>
      <c r="DT47" s="10"/>
      <c r="DU47" s="10"/>
      <c r="DV47" s="10"/>
      <c r="DW47" s="10"/>
      <c r="DX47" s="10"/>
      <c r="DY47" s="10"/>
      <c r="DZ47" s="10"/>
      <c r="EA47" s="10"/>
      <c r="EB47" s="10"/>
      <c r="EC47" s="10"/>
      <c r="ED47" s="10"/>
      <c r="EE47" s="10"/>
      <c r="EF47" s="10"/>
      <c r="EG47" s="10"/>
      <c r="EH47" s="10"/>
      <c r="EI47" s="10"/>
      <c r="EJ47" s="10"/>
      <c r="EK47" s="10"/>
      <c r="EL47" s="10"/>
      <c r="EM47" s="10"/>
      <c r="EN47" s="10"/>
      <c r="EO47" s="10"/>
      <c r="EP47" s="10"/>
      <c r="EQ47" s="10"/>
      <c r="ER47" s="10"/>
      <c r="ES47" s="10"/>
      <c r="ET47" s="10"/>
      <c r="EU47" s="10"/>
      <c r="EV47" s="10"/>
      <c r="EW47" s="10"/>
      <c r="EX47" s="10"/>
      <c r="EY47" s="10"/>
      <c r="EZ47" s="10"/>
      <c r="FA47" s="10"/>
      <c r="FB47" s="10"/>
      <c r="FC47" s="10"/>
      <c r="FD47" s="10"/>
      <c r="FE47" s="10"/>
    </row>
    <row r="48" spans="2:161" x14ac:dyDescent="0.25"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  <c r="BT48" s="10"/>
      <c r="BU48" s="10"/>
      <c r="BV48" s="10"/>
      <c r="BW48" s="10"/>
      <c r="BX48" s="10"/>
      <c r="BY48" s="10"/>
      <c r="BZ48" s="10"/>
      <c r="CA48" s="10"/>
      <c r="CB48" s="10"/>
      <c r="CC48" s="10"/>
      <c r="CD48" s="10"/>
      <c r="CE48" s="10"/>
      <c r="CF48" s="10"/>
      <c r="CG48" s="10"/>
      <c r="CH48" s="10"/>
      <c r="CI48" s="10"/>
      <c r="CJ48" s="10"/>
      <c r="CK48" s="10"/>
      <c r="CL48" s="10"/>
      <c r="CM48" s="10"/>
      <c r="CN48" s="10"/>
      <c r="CO48" s="10"/>
      <c r="CP48" s="10"/>
      <c r="CQ48" s="10"/>
      <c r="CR48" s="10"/>
      <c r="CS48" s="10"/>
      <c r="CT48" s="10"/>
      <c r="CU48" s="10"/>
      <c r="CV48" s="10"/>
      <c r="CW48" s="10"/>
      <c r="CX48" s="10"/>
      <c r="CY48" s="10"/>
      <c r="CZ48" s="10"/>
      <c r="DA48" s="10"/>
      <c r="DB48" s="10"/>
      <c r="DC48" s="10"/>
      <c r="DD48" s="10"/>
      <c r="DE48" s="10"/>
      <c r="DF48" s="10"/>
      <c r="DG48" s="10"/>
      <c r="DH48" s="10"/>
      <c r="DI48" s="10"/>
      <c r="DJ48" s="10"/>
      <c r="DK48" s="10"/>
      <c r="DL48" s="10"/>
      <c r="DM48" s="10"/>
      <c r="DN48" s="10"/>
      <c r="DO48" s="10"/>
      <c r="DP48" s="10"/>
      <c r="DQ48" s="10"/>
      <c r="DR48" s="10"/>
      <c r="DS48" s="10"/>
      <c r="DT48" s="10"/>
      <c r="DU48" s="10"/>
      <c r="DV48" s="10"/>
      <c r="DW48" s="10"/>
      <c r="DX48" s="10"/>
      <c r="DY48" s="10"/>
      <c r="DZ48" s="10"/>
      <c r="EA48" s="10"/>
      <c r="EB48" s="10"/>
      <c r="EC48" s="10"/>
      <c r="ED48" s="10"/>
      <c r="EE48" s="10"/>
      <c r="EF48" s="10"/>
      <c r="EG48" s="10"/>
      <c r="EH48" s="10"/>
      <c r="EI48" s="10"/>
      <c r="EJ48" s="10"/>
      <c r="EK48" s="10"/>
      <c r="EL48" s="10"/>
      <c r="EM48" s="10"/>
      <c r="EN48" s="10"/>
      <c r="EO48" s="10"/>
      <c r="EP48" s="10"/>
      <c r="EQ48" s="10"/>
      <c r="ER48" s="10"/>
      <c r="ES48" s="10"/>
      <c r="ET48" s="10"/>
      <c r="EU48" s="10"/>
      <c r="EV48" s="10"/>
      <c r="EW48" s="10"/>
      <c r="EX48" s="10"/>
      <c r="EY48" s="10"/>
      <c r="EZ48" s="10"/>
      <c r="FA48" s="10"/>
      <c r="FB48" s="10"/>
      <c r="FC48" s="10"/>
      <c r="FD48" s="10"/>
      <c r="FE48" s="10"/>
    </row>
    <row r="49" spans="2:161" x14ac:dyDescent="0.25"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  <c r="BT49" s="10"/>
      <c r="BU49" s="10"/>
      <c r="BV49" s="10"/>
      <c r="BW49" s="10"/>
      <c r="BX49" s="10"/>
      <c r="BY49" s="10"/>
      <c r="BZ49" s="10"/>
      <c r="CA49" s="10"/>
      <c r="CB49" s="10"/>
      <c r="CC49" s="10"/>
      <c r="CD49" s="10"/>
      <c r="CE49" s="10"/>
      <c r="CF49" s="10"/>
      <c r="CG49" s="10"/>
      <c r="CH49" s="10"/>
      <c r="CI49" s="10"/>
      <c r="CJ49" s="10"/>
      <c r="CK49" s="10"/>
      <c r="CL49" s="10"/>
      <c r="CM49" s="10"/>
      <c r="CN49" s="10"/>
      <c r="CO49" s="10"/>
      <c r="CP49" s="10"/>
      <c r="CQ49" s="10"/>
      <c r="CR49" s="10"/>
      <c r="CS49" s="10"/>
      <c r="CT49" s="10"/>
      <c r="CU49" s="10"/>
      <c r="CV49" s="10"/>
      <c r="CW49" s="10"/>
      <c r="CX49" s="10"/>
      <c r="CY49" s="10"/>
      <c r="CZ49" s="10"/>
      <c r="DA49" s="10"/>
      <c r="DB49" s="10"/>
      <c r="DC49" s="10"/>
      <c r="DD49" s="10"/>
      <c r="DE49" s="10"/>
      <c r="DF49" s="10"/>
      <c r="DG49" s="10"/>
      <c r="DH49" s="10"/>
      <c r="DI49" s="10"/>
      <c r="DJ49" s="10"/>
      <c r="DK49" s="10"/>
      <c r="DL49" s="10"/>
      <c r="DM49" s="10"/>
      <c r="DN49" s="10"/>
      <c r="DO49" s="10"/>
      <c r="DP49" s="10"/>
      <c r="DQ49" s="10"/>
      <c r="DR49" s="10"/>
      <c r="DS49" s="10"/>
      <c r="DT49" s="10"/>
      <c r="DU49" s="10"/>
      <c r="DV49" s="10"/>
      <c r="DW49" s="10"/>
      <c r="DX49" s="10"/>
      <c r="DY49" s="10"/>
      <c r="DZ49" s="10"/>
      <c r="EA49" s="10"/>
      <c r="EB49" s="10"/>
      <c r="EC49" s="10"/>
      <c r="ED49" s="10"/>
      <c r="EE49" s="10"/>
      <c r="EF49" s="10"/>
      <c r="EG49" s="10"/>
      <c r="EH49" s="10"/>
      <c r="EI49" s="10"/>
      <c r="EJ49" s="10"/>
      <c r="EK49" s="10"/>
      <c r="EL49" s="10"/>
      <c r="EM49" s="10"/>
      <c r="EN49" s="10"/>
      <c r="EO49" s="10"/>
      <c r="EP49" s="10"/>
      <c r="EQ49" s="10"/>
      <c r="ER49" s="10"/>
      <c r="ES49" s="10"/>
      <c r="ET49" s="10"/>
      <c r="EU49" s="10"/>
      <c r="EV49" s="10"/>
      <c r="EW49" s="10"/>
      <c r="EX49" s="10"/>
      <c r="EY49" s="10"/>
      <c r="EZ49" s="10"/>
      <c r="FA49" s="10"/>
      <c r="FB49" s="10"/>
      <c r="FC49" s="10"/>
      <c r="FD49" s="10"/>
      <c r="FE49" s="10"/>
    </row>
    <row r="50" spans="2:161" x14ac:dyDescent="0.25"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  <c r="BT50" s="10"/>
      <c r="BU50" s="10"/>
      <c r="BV50" s="10"/>
      <c r="BW50" s="10"/>
      <c r="BX50" s="10"/>
      <c r="BY50" s="10"/>
      <c r="BZ50" s="10"/>
      <c r="CA50" s="10"/>
      <c r="CB50" s="10"/>
      <c r="CC50" s="10"/>
      <c r="CD50" s="10"/>
      <c r="CE50" s="10"/>
      <c r="CF50" s="10"/>
      <c r="CG50" s="10"/>
      <c r="CH50" s="10"/>
      <c r="CI50" s="10"/>
      <c r="CJ50" s="10"/>
      <c r="CK50" s="10"/>
      <c r="CL50" s="10"/>
      <c r="CM50" s="10"/>
      <c r="CN50" s="10"/>
      <c r="CO50" s="10"/>
      <c r="CP50" s="10"/>
      <c r="CQ50" s="10"/>
      <c r="CR50" s="10"/>
      <c r="CS50" s="10"/>
      <c r="CT50" s="10"/>
      <c r="CU50" s="10"/>
      <c r="CV50" s="10"/>
      <c r="CW50" s="10"/>
      <c r="CX50" s="10"/>
      <c r="CY50" s="10"/>
      <c r="CZ50" s="10"/>
      <c r="DA50" s="10"/>
      <c r="DB50" s="10"/>
      <c r="DC50" s="10"/>
      <c r="DD50" s="10"/>
      <c r="DE50" s="10"/>
      <c r="DF50" s="10"/>
      <c r="DG50" s="10"/>
      <c r="DH50" s="10"/>
      <c r="DI50" s="10"/>
      <c r="DJ50" s="10"/>
      <c r="DK50" s="10"/>
      <c r="DL50" s="10"/>
      <c r="DM50" s="10"/>
      <c r="DN50" s="10"/>
      <c r="DO50" s="10"/>
      <c r="DP50" s="10"/>
      <c r="DQ50" s="10"/>
      <c r="DR50" s="10"/>
      <c r="DS50" s="10"/>
      <c r="DT50" s="10"/>
      <c r="DU50" s="10"/>
      <c r="DV50" s="10"/>
      <c r="DW50" s="10"/>
      <c r="DX50" s="10"/>
      <c r="DY50" s="10"/>
      <c r="DZ50" s="10"/>
      <c r="EA50" s="10"/>
      <c r="EB50" s="10"/>
      <c r="EC50" s="10"/>
      <c r="ED50" s="10"/>
      <c r="EE50" s="10"/>
      <c r="EF50" s="10"/>
      <c r="EG50" s="10"/>
      <c r="EH50" s="10"/>
      <c r="EI50" s="10"/>
      <c r="EJ50" s="10"/>
      <c r="EK50" s="10"/>
      <c r="EL50" s="10"/>
      <c r="EM50" s="10"/>
      <c r="EN50" s="10"/>
      <c r="EO50" s="10"/>
      <c r="EP50" s="10"/>
      <c r="EQ50" s="10"/>
      <c r="ER50" s="10"/>
      <c r="ES50" s="10"/>
      <c r="ET50" s="10"/>
      <c r="EU50" s="10"/>
      <c r="EV50" s="10"/>
      <c r="EW50" s="10"/>
      <c r="EX50" s="10"/>
      <c r="EY50" s="10"/>
      <c r="EZ50" s="10"/>
      <c r="FA50" s="10"/>
      <c r="FB50" s="10"/>
      <c r="FC50" s="10"/>
      <c r="FD50" s="10"/>
      <c r="FE50" s="10"/>
    </row>
    <row r="51" spans="2:161" x14ac:dyDescent="0.25"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  <c r="BT51" s="10"/>
      <c r="BU51" s="10"/>
      <c r="BV51" s="10"/>
      <c r="BW51" s="10"/>
      <c r="BX51" s="10"/>
      <c r="BY51" s="10"/>
      <c r="BZ51" s="10"/>
      <c r="CA51" s="10"/>
      <c r="CB51" s="10"/>
      <c r="CC51" s="10"/>
      <c r="CD51" s="10"/>
      <c r="CE51" s="10"/>
      <c r="CF51" s="10"/>
      <c r="CG51" s="10"/>
      <c r="CH51" s="10"/>
      <c r="CI51" s="10"/>
      <c r="CJ51" s="10"/>
      <c r="CK51" s="10"/>
      <c r="CL51" s="10"/>
      <c r="CM51" s="10"/>
      <c r="CN51" s="10"/>
      <c r="CO51" s="10"/>
      <c r="CP51" s="10"/>
      <c r="CQ51" s="10"/>
      <c r="CR51" s="10"/>
      <c r="CS51" s="10"/>
      <c r="CT51" s="10"/>
      <c r="CU51" s="10"/>
      <c r="CV51" s="10"/>
      <c r="CW51" s="10"/>
      <c r="CX51" s="10"/>
      <c r="CY51" s="10"/>
      <c r="CZ51" s="10"/>
      <c r="DA51" s="10"/>
      <c r="DB51" s="10"/>
      <c r="DC51" s="10"/>
      <c r="DD51" s="10"/>
      <c r="DE51" s="10"/>
      <c r="DF51" s="10"/>
      <c r="DG51" s="10"/>
      <c r="DH51" s="10"/>
      <c r="DI51" s="10"/>
      <c r="DJ51" s="10"/>
      <c r="DK51" s="10"/>
      <c r="DL51" s="10"/>
      <c r="DM51" s="10"/>
      <c r="DN51" s="10"/>
      <c r="DO51" s="10"/>
      <c r="DP51" s="10"/>
      <c r="DQ51" s="10"/>
      <c r="DR51" s="10"/>
      <c r="DS51" s="10"/>
      <c r="DT51" s="10"/>
      <c r="DU51" s="10"/>
      <c r="DV51" s="10"/>
      <c r="DW51" s="10"/>
      <c r="DX51" s="10"/>
      <c r="DY51" s="10"/>
      <c r="DZ51" s="10"/>
      <c r="EA51" s="10"/>
      <c r="EB51" s="10"/>
      <c r="EC51" s="10"/>
      <c r="ED51" s="10"/>
      <c r="EE51" s="10"/>
      <c r="EF51" s="10"/>
      <c r="EG51" s="10"/>
      <c r="EH51" s="10"/>
      <c r="EI51" s="10"/>
      <c r="EJ51" s="10"/>
      <c r="EK51" s="10"/>
      <c r="EL51" s="10"/>
      <c r="EM51" s="10"/>
      <c r="EN51" s="10"/>
      <c r="EO51" s="10"/>
      <c r="EP51" s="10"/>
      <c r="EQ51" s="10"/>
      <c r="ER51" s="10"/>
      <c r="ES51" s="10"/>
      <c r="ET51" s="10"/>
      <c r="EU51" s="10"/>
      <c r="EV51" s="10"/>
      <c r="EW51" s="10"/>
      <c r="EX51" s="10"/>
      <c r="EY51" s="10"/>
      <c r="EZ51" s="10"/>
      <c r="FA51" s="10"/>
      <c r="FB51" s="10"/>
      <c r="FC51" s="10"/>
      <c r="FD51" s="10"/>
      <c r="FE51" s="10"/>
    </row>
    <row r="52" spans="2:161" x14ac:dyDescent="0.25"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  <c r="BT52" s="10"/>
      <c r="BU52" s="10"/>
      <c r="BV52" s="10"/>
      <c r="BW52" s="10"/>
      <c r="BX52" s="10"/>
      <c r="BY52" s="10"/>
      <c r="BZ52" s="10"/>
      <c r="CA52" s="10"/>
      <c r="CB52" s="10"/>
      <c r="CC52" s="10"/>
      <c r="CD52" s="10"/>
      <c r="CE52" s="10"/>
      <c r="CF52" s="10"/>
      <c r="CG52" s="10"/>
      <c r="CH52" s="10"/>
      <c r="CI52" s="10"/>
      <c r="CJ52" s="10"/>
      <c r="CK52" s="10"/>
      <c r="CL52" s="10"/>
      <c r="CM52" s="10"/>
      <c r="CN52" s="10"/>
      <c r="CO52" s="10"/>
      <c r="CP52" s="10"/>
      <c r="CQ52" s="10"/>
      <c r="CR52" s="10"/>
      <c r="CS52" s="10"/>
      <c r="CT52" s="10"/>
      <c r="CU52" s="10"/>
      <c r="CV52" s="10"/>
      <c r="CW52" s="10"/>
      <c r="CX52" s="10"/>
      <c r="CY52" s="10"/>
      <c r="CZ52" s="10"/>
      <c r="DA52" s="10"/>
      <c r="DB52" s="10"/>
      <c r="DC52" s="10"/>
      <c r="DD52" s="10"/>
      <c r="DE52" s="10"/>
      <c r="DF52" s="10"/>
      <c r="DG52" s="10"/>
      <c r="DH52" s="10"/>
      <c r="DI52" s="10"/>
      <c r="DJ52" s="10"/>
      <c r="DK52" s="10"/>
      <c r="DL52" s="10"/>
      <c r="DM52" s="10"/>
      <c r="DN52" s="10"/>
      <c r="DO52" s="10"/>
      <c r="DP52" s="10"/>
      <c r="DQ52" s="10"/>
      <c r="DR52" s="10"/>
      <c r="DS52" s="10"/>
      <c r="DT52" s="10"/>
      <c r="DU52" s="10"/>
      <c r="DV52" s="10"/>
      <c r="DW52" s="10"/>
      <c r="DX52" s="10"/>
      <c r="DY52" s="10"/>
      <c r="DZ52" s="10"/>
      <c r="EA52" s="10"/>
      <c r="EB52" s="10"/>
      <c r="EC52" s="10"/>
      <c r="ED52" s="10"/>
      <c r="EE52" s="10"/>
      <c r="EF52" s="10"/>
      <c r="EG52" s="10"/>
      <c r="EH52" s="10"/>
      <c r="EI52" s="10"/>
      <c r="EJ52" s="10"/>
      <c r="EK52" s="10"/>
      <c r="EL52" s="10"/>
      <c r="EM52" s="10"/>
      <c r="EN52" s="10"/>
      <c r="EO52" s="10"/>
      <c r="EP52" s="10"/>
      <c r="EQ52" s="10"/>
      <c r="ER52" s="10"/>
      <c r="ES52" s="10"/>
      <c r="ET52" s="10"/>
      <c r="EU52" s="10"/>
      <c r="EV52" s="10"/>
      <c r="EW52" s="10"/>
      <c r="EX52" s="10"/>
      <c r="EY52" s="10"/>
      <c r="EZ52" s="10"/>
      <c r="FA52" s="10"/>
      <c r="FB52" s="10"/>
      <c r="FC52" s="10"/>
      <c r="FD52" s="10"/>
      <c r="FE52" s="10"/>
    </row>
    <row r="53" spans="2:161" x14ac:dyDescent="0.25"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  <c r="BT53" s="10"/>
      <c r="BU53" s="10"/>
      <c r="BV53" s="10"/>
      <c r="BW53" s="10"/>
      <c r="BX53" s="10"/>
      <c r="BY53" s="10"/>
      <c r="BZ53" s="10"/>
      <c r="CA53" s="10"/>
      <c r="CB53" s="10"/>
      <c r="CC53" s="10"/>
      <c r="CD53" s="10"/>
      <c r="CE53" s="10"/>
      <c r="CF53" s="10"/>
      <c r="CG53" s="10"/>
      <c r="CH53" s="10"/>
      <c r="CI53" s="10"/>
      <c r="CJ53" s="10"/>
      <c r="CK53" s="10"/>
      <c r="CL53" s="10"/>
      <c r="CM53" s="10"/>
      <c r="CN53" s="10"/>
      <c r="CO53" s="10"/>
      <c r="CP53" s="10"/>
      <c r="CQ53" s="10"/>
      <c r="CR53" s="10"/>
      <c r="CS53" s="10"/>
      <c r="CT53" s="10"/>
      <c r="CU53" s="10"/>
      <c r="CV53" s="10"/>
      <c r="CW53" s="10"/>
      <c r="CX53" s="10"/>
      <c r="CY53" s="10"/>
      <c r="CZ53" s="10"/>
      <c r="DA53" s="10"/>
      <c r="DB53" s="10"/>
      <c r="DC53" s="10"/>
      <c r="DD53" s="10"/>
      <c r="DE53" s="10"/>
      <c r="DF53" s="10"/>
      <c r="DG53" s="10"/>
      <c r="DH53" s="10"/>
      <c r="DI53" s="10"/>
      <c r="DJ53" s="10"/>
      <c r="DK53" s="10"/>
      <c r="DL53" s="10"/>
      <c r="DM53" s="10"/>
      <c r="DN53" s="10"/>
      <c r="DO53" s="10"/>
      <c r="DP53" s="10"/>
      <c r="DQ53" s="10"/>
      <c r="DR53" s="10"/>
      <c r="DS53" s="10"/>
      <c r="DT53" s="10"/>
      <c r="DU53" s="10"/>
      <c r="DV53" s="10"/>
      <c r="DW53" s="10"/>
      <c r="DX53" s="10"/>
      <c r="DY53" s="10"/>
      <c r="DZ53" s="10"/>
      <c r="EA53" s="10"/>
      <c r="EB53" s="10"/>
      <c r="EC53" s="10"/>
      <c r="ED53" s="10"/>
      <c r="EE53" s="10"/>
      <c r="EF53" s="10"/>
      <c r="EG53" s="10"/>
      <c r="EH53" s="10"/>
      <c r="EI53" s="10"/>
      <c r="EJ53" s="10"/>
      <c r="EK53" s="10"/>
      <c r="EL53" s="10"/>
      <c r="EM53" s="10"/>
      <c r="EN53" s="10"/>
      <c r="EO53" s="10"/>
      <c r="EP53" s="10"/>
      <c r="EQ53" s="10"/>
      <c r="ER53" s="10"/>
      <c r="ES53" s="10"/>
      <c r="ET53" s="10"/>
      <c r="EU53" s="10"/>
      <c r="EV53" s="10"/>
      <c r="EW53" s="10"/>
      <c r="EX53" s="10"/>
      <c r="EY53" s="10"/>
      <c r="EZ53" s="10"/>
      <c r="FA53" s="10"/>
      <c r="FB53" s="10"/>
      <c r="FC53" s="10"/>
      <c r="FD53" s="10"/>
      <c r="FE53" s="10"/>
    </row>
    <row r="54" spans="2:161" x14ac:dyDescent="0.25"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  <c r="BT54" s="10"/>
      <c r="BU54" s="10"/>
      <c r="BV54" s="10"/>
      <c r="BW54" s="10"/>
      <c r="BX54" s="10"/>
      <c r="BY54" s="10"/>
      <c r="BZ54" s="10"/>
      <c r="CA54" s="10"/>
      <c r="CB54" s="10"/>
      <c r="CC54" s="10"/>
      <c r="CD54" s="10"/>
      <c r="CE54" s="10"/>
      <c r="CF54" s="10"/>
      <c r="CG54" s="10"/>
      <c r="CH54" s="10"/>
      <c r="CI54" s="10"/>
      <c r="CJ54" s="10"/>
      <c r="CK54" s="10"/>
      <c r="CL54" s="10"/>
      <c r="CM54" s="10"/>
      <c r="CN54" s="10"/>
      <c r="CO54" s="10"/>
      <c r="CP54" s="10"/>
      <c r="CQ54" s="10"/>
      <c r="CR54" s="10"/>
      <c r="CS54" s="10"/>
      <c r="CT54" s="10"/>
      <c r="CU54" s="10"/>
      <c r="CV54" s="10"/>
      <c r="CW54" s="10"/>
      <c r="CX54" s="10"/>
      <c r="CY54" s="10"/>
      <c r="CZ54" s="10"/>
      <c r="DA54" s="10"/>
      <c r="DB54" s="10"/>
      <c r="DC54" s="10"/>
      <c r="DD54" s="10"/>
      <c r="DE54" s="10"/>
      <c r="DF54" s="10"/>
      <c r="DG54" s="10"/>
      <c r="DH54" s="10"/>
      <c r="DI54" s="10"/>
      <c r="DJ54" s="10"/>
      <c r="DK54" s="10"/>
      <c r="DL54" s="10"/>
      <c r="DM54" s="10"/>
      <c r="DN54" s="10"/>
      <c r="DO54" s="10"/>
      <c r="DP54" s="10"/>
      <c r="DQ54" s="10"/>
      <c r="DR54" s="10"/>
      <c r="DS54" s="10"/>
      <c r="DT54" s="10"/>
      <c r="DU54" s="10"/>
      <c r="DV54" s="10"/>
      <c r="DW54" s="10"/>
      <c r="DX54" s="10"/>
      <c r="DY54" s="10"/>
      <c r="DZ54" s="10"/>
      <c r="EA54" s="10"/>
      <c r="EB54" s="10"/>
      <c r="EC54" s="10"/>
      <c r="ED54" s="10"/>
      <c r="EE54" s="10"/>
      <c r="EF54" s="10"/>
      <c r="EG54" s="10"/>
      <c r="EH54" s="10"/>
      <c r="EI54" s="10"/>
      <c r="EJ54" s="10"/>
      <c r="EK54" s="10"/>
      <c r="EL54" s="10"/>
      <c r="EM54" s="10"/>
      <c r="EN54" s="10"/>
      <c r="EO54" s="10"/>
      <c r="EP54" s="10"/>
      <c r="EQ54" s="10"/>
      <c r="ER54" s="10"/>
      <c r="ES54" s="10"/>
      <c r="ET54" s="10"/>
      <c r="EU54" s="10"/>
      <c r="EV54" s="10"/>
      <c r="EW54" s="10"/>
      <c r="EX54" s="10"/>
      <c r="EY54" s="10"/>
      <c r="EZ54" s="10"/>
      <c r="FA54" s="10"/>
      <c r="FB54" s="10"/>
      <c r="FC54" s="10"/>
      <c r="FD54" s="10"/>
      <c r="FE54" s="10"/>
    </row>
    <row r="55" spans="2:161" x14ac:dyDescent="0.25"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  <c r="BT55" s="10"/>
      <c r="BU55" s="10"/>
      <c r="BV55" s="10"/>
      <c r="BW55" s="10"/>
      <c r="BX55" s="10"/>
      <c r="BY55" s="10"/>
      <c r="BZ55" s="10"/>
      <c r="CA55" s="10"/>
      <c r="CB55" s="10"/>
      <c r="CC55" s="10"/>
      <c r="CD55" s="10"/>
      <c r="CE55" s="10"/>
      <c r="CF55" s="10"/>
      <c r="CG55" s="10"/>
      <c r="CH55" s="10"/>
      <c r="CI55" s="10"/>
      <c r="CJ55" s="10"/>
      <c r="CK55" s="10"/>
      <c r="CL55" s="10"/>
      <c r="CM55" s="10"/>
      <c r="CN55" s="10"/>
      <c r="CO55" s="10"/>
      <c r="CP55" s="10"/>
      <c r="CQ55" s="10"/>
      <c r="CR55" s="10"/>
      <c r="CS55" s="10"/>
      <c r="CT55" s="10"/>
      <c r="CU55" s="10"/>
      <c r="CV55" s="10"/>
      <c r="CW55" s="10"/>
      <c r="CX55" s="10"/>
      <c r="CY55" s="10"/>
      <c r="CZ55" s="10"/>
      <c r="DA55" s="10"/>
      <c r="DB55" s="10"/>
      <c r="DC55" s="10"/>
      <c r="DD55" s="10"/>
      <c r="DE55" s="10"/>
      <c r="DF55" s="10"/>
      <c r="DG55" s="10"/>
      <c r="DH55" s="10"/>
      <c r="DI55" s="10"/>
      <c r="DJ55" s="10"/>
      <c r="DK55" s="10"/>
      <c r="DL55" s="10"/>
      <c r="DM55" s="10"/>
      <c r="DN55" s="10"/>
      <c r="DO55" s="10"/>
      <c r="DP55" s="10"/>
      <c r="DQ55" s="10"/>
      <c r="DR55" s="10"/>
      <c r="DS55" s="10"/>
      <c r="DT55" s="10"/>
      <c r="DU55" s="10"/>
      <c r="DV55" s="10"/>
      <c r="DW55" s="10"/>
      <c r="DX55" s="10"/>
      <c r="DY55" s="10"/>
      <c r="DZ55" s="10"/>
      <c r="EA55" s="10"/>
      <c r="EB55" s="10"/>
      <c r="EC55" s="10"/>
      <c r="ED55" s="10"/>
      <c r="EE55" s="10"/>
      <c r="EF55" s="10"/>
      <c r="EG55" s="10"/>
      <c r="EH55" s="10"/>
      <c r="EI55" s="10"/>
      <c r="EJ55" s="10"/>
      <c r="EK55" s="10"/>
      <c r="EL55" s="10"/>
      <c r="EM55" s="10"/>
      <c r="EN55" s="10"/>
      <c r="EO55" s="10"/>
      <c r="EP55" s="10"/>
      <c r="EQ55" s="10"/>
      <c r="ER55" s="10"/>
      <c r="ES55" s="10"/>
      <c r="ET55" s="10"/>
      <c r="EU55" s="10"/>
      <c r="EV55" s="10"/>
      <c r="EW55" s="10"/>
      <c r="EX55" s="10"/>
      <c r="EY55" s="10"/>
      <c r="EZ55" s="10"/>
      <c r="FA55" s="10"/>
      <c r="FB55" s="10"/>
      <c r="FC55" s="10"/>
      <c r="FD55" s="10"/>
      <c r="FE55" s="10"/>
    </row>
    <row r="56" spans="2:161" x14ac:dyDescent="0.25"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  <c r="BT56" s="10"/>
      <c r="BU56" s="10"/>
      <c r="BV56" s="10"/>
      <c r="BW56" s="10"/>
      <c r="BX56" s="10"/>
      <c r="BY56" s="10"/>
      <c r="BZ56" s="10"/>
      <c r="CA56" s="10"/>
      <c r="CB56" s="10"/>
      <c r="CC56" s="10"/>
      <c r="CD56" s="10"/>
      <c r="CE56" s="10"/>
      <c r="CF56" s="10"/>
      <c r="CG56" s="10"/>
      <c r="CH56" s="10"/>
      <c r="CI56" s="10"/>
      <c r="CJ56" s="10"/>
      <c r="CK56" s="10"/>
      <c r="CL56" s="10"/>
      <c r="CM56" s="10"/>
      <c r="CN56" s="10"/>
      <c r="CO56" s="10"/>
      <c r="CP56" s="10"/>
      <c r="CQ56" s="10"/>
      <c r="CR56" s="10"/>
      <c r="CS56" s="10"/>
      <c r="CT56" s="10"/>
      <c r="CU56" s="10"/>
      <c r="CV56" s="10"/>
      <c r="CW56" s="10"/>
      <c r="CX56" s="10"/>
      <c r="CY56" s="10"/>
      <c r="CZ56" s="10"/>
      <c r="DA56" s="10"/>
      <c r="DB56" s="10"/>
      <c r="DC56" s="10"/>
      <c r="DD56" s="10"/>
      <c r="DE56" s="10"/>
      <c r="DF56" s="10"/>
      <c r="DG56" s="10"/>
      <c r="DH56" s="10"/>
      <c r="DI56" s="10"/>
      <c r="DJ56" s="10"/>
      <c r="DK56" s="10"/>
      <c r="DL56" s="10"/>
      <c r="DM56" s="10"/>
      <c r="DN56" s="10"/>
      <c r="DO56" s="10"/>
      <c r="DP56" s="10"/>
      <c r="DQ56" s="10"/>
      <c r="DR56" s="10"/>
      <c r="DS56" s="10"/>
      <c r="DT56" s="10"/>
      <c r="DU56" s="10"/>
      <c r="DV56" s="10"/>
      <c r="DW56" s="10"/>
      <c r="DX56" s="10"/>
      <c r="DY56" s="10"/>
      <c r="DZ56" s="10"/>
      <c r="EA56" s="10"/>
      <c r="EB56" s="10"/>
      <c r="EC56" s="10"/>
      <c r="ED56" s="10"/>
      <c r="EE56" s="10"/>
      <c r="EF56" s="10"/>
      <c r="EG56" s="10"/>
      <c r="EH56" s="10"/>
      <c r="EI56" s="10"/>
      <c r="EJ56" s="10"/>
      <c r="EK56" s="10"/>
      <c r="EL56" s="10"/>
      <c r="EM56" s="10"/>
      <c r="EN56" s="10"/>
      <c r="EO56" s="10"/>
      <c r="EP56" s="10"/>
      <c r="EQ56" s="10"/>
      <c r="ER56" s="10"/>
      <c r="ES56" s="10"/>
      <c r="ET56" s="10"/>
      <c r="EU56" s="10"/>
      <c r="EV56" s="10"/>
      <c r="EW56" s="10"/>
      <c r="EX56" s="10"/>
      <c r="EY56" s="10"/>
      <c r="EZ56" s="10"/>
      <c r="FA56" s="10"/>
      <c r="FB56" s="10"/>
      <c r="FC56" s="10"/>
      <c r="FD56" s="10"/>
      <c r="FE56" s="10"/>
    </row>
    <row r="57" spans="2:161" x14ac:dyDescent="0.25"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  <c r="BT57" s="10"/>
      <c r="BU57" s="10"/>
      <c r="BV57" s="10"/>
      <c r="BW57" s="10"/>
      <c r="BX57" s="10"/>
      <c r="BY57" s="10"/>
      <c r="BZ57" s="10"/>
      <c r="CA57" s="10"/>
      <c r="CB57" s="10"/>
      <c r="CC57" s="10"/>
      <c r="CD57" s="10"/>
      <c r="CE57" s="10"/>
      <c r="CF57" s="10"/>
      <c r="CG57" s="10"/>
      <c r="CH57" s="10"/>
      <c r="CI57" s="10"/>
      <c r="CJ57" s="10"/>
      <c r="CK57" s="10"/>
      <c r="CL57" s="10"/>
      <c r="CM57" s="10"/>
      <c r="CN57" s="10"/>
      <c r="CO57" s="10"/>
      <c r="CP57" s="10"/>
      <c r="CQ57" s="10"/>
      <c r="CR57" s="10"/>
      <c r="CS57" s="10"/>
      <c r="CT57" s="10"/>
      <c r="CU57" s="10"/>
      <c r="CV57" s="10"/>
      <c r="CW57" s="10"/>
      <c r="CX57" s="10"/>
      <c r="CY57" s="10"/>
      <c r="CZ57" s="10"/>
      <c r="DA57" s="10"/>
      <c r="DB57" s="10"/>
      <c r="DC57" s="10"/>
      <c r="DD57" s="10"/>
      <c r="DE57" s="10"/>
      <c r="DF57" s="10"/>
      <c r="DG57" s="10"/>
      <c r="DH57" s="10"/>
      <c r="DI57" s="10"/>
      <c r="DJ57" s="10"/>
      <c r="DK57" s="10"/>
      <c r="DL57" s="10"/>
      <c r="DM57" s="10"/>
      <c r="DN57" s="10"/>
      <c r="DO57" s="10"/>
      <c r="DP57" s="10"/>
      <c r="DQ57" s="10"/>
      <c r="DR57" s="10"/>
      <c r="DS57" s="10"/>
      <c r="DT57" s="10"/>
      <c r="DU57" s="10"/>
      <c r="DV57" s="10"/>
      <c r="DW57" s="10"/>
      <c r="DX57" s="10"/>
      <c r="DY57" s="10"/>
      <c r="DZ57" s="10"/>
      <c r="EA57" s="10"/>
      <c r="EB57" s="10"/>
      <c r="EC57" s="10"/>
      <c r="ED57" s="10"/>
      <c r="EE57" s="10"/>
      <c r="EF57" s="10"/>
      <c r="EG57" s="10"/>
      <c r="EH57" s="10"/>
      <c r="EI57" s="10"/>
      <c r="EJ57" s="10"/>
      <c r="EK57" s="10"/>
      <c r="EL57" s="10"/>
      <c r="EM57" s="10"/>
      <c r="EN57" s="10"/>
      <c r="EO57" s="10"/>
      <c r="EP57" s="10"/>
      <c r="EQ57" s="10"/>
      <c r="ER57" s="10"/>
      <c r="ES57" s="10"/>
      <c r="ET57" s="10"/>
      <c r="EU57" s="10"/>
      <c r="EV57" s="10"/>
      <c r="EW57" s="10"/>
      <c r="EX57" s="10"/>
      <c r="EY57" s="10"/>
      <c r="EZ57" s="10"/>
      <c r="FA57" s="10"/>
      <c r="FB57" s="10"/>
      <c r="FC57" s="10"/>
      <c r="FD57" s="10"/>
      <c r="FE57" s="10"/>
    </row>
    <row r="58" spans="2:161" x14ac:dyDescent="0.25"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  <c r="BT58" s="10"/>
      <c r="BU58" s="10"/>
      <c r="BV58" s="10"/>
      <c r="BW58" s="10"/>
      <c r="BX58" s="10"/>
      <c r="BY58" s="10"/>
      <c r="BZ58" s="10"/>
      <c r="CA58" s="10"/>
      <c r="CB58" s="10"/>
      <c r="CC58" s="10"/>
      <c r="CD58" s="10"/>
      <c r="CE58" s="10"/>
      <c r="CF58" s="10"/>
      <c r="CG58" s="10"/>
      <c r="CH58" s="10"/>
      <c r="CI58" s="10"/>
      <c r="CJ58" s="10"/>
      <c r="CK58" s="10"/>
      <c r="CL58" s="10"/>
      <c r="CM58" s="10"/>
      <c r="CN58" s="10"/>
      <c r="CO58" s="10"/>
      <c r="CP58" s="10"/>
      <c r="CQ58" s="10"/>
      <c r="CR58" s="10"/>
      <c r="CS58" s="10"/>
      <c r="CT58" s="10"/>
      <c r="CU58" s="10"/>
      <c r="CV58" s="10"/>
      <c r="CW58" s="10"/>
      <c r="CX58" s="10"/>
      <c r="CY58" s="10"/>
      <c r="CZ58" s="10"/>
      <c r="DA58" s="10"/>
      <c r="DB58" s="10"/>
      <c r="DC58" s="10"/>
      <c r="DD58" s="10"/>
      <c r="DE58" s="10"/>
      <c r="DF58" s="10"/>
      <c r="DG58" s="10"/>
      <c r="DH58" s="10"/>
      <c r="DI58" s="10"/>
      <c r="DJ58" s="10"/>
      <c r="DK58" s="10"/>
      <c r="DL58" s="10"/>
      <c r="DM58" s="10"/>
      <c r="DN58" s="10"/>
      <c r="DO58" s="10"/>
      <c r="DP58" s="10"/>
      <c r="DQ58" s="10"/>
      <c r="DR58" s="10"/>
      <c r="DS58" s="10"/>
      <c r="DT58" s="10"/>
      <c r="DU58" s="10"/>
      <c r="DV58" s="10"/>
      <c r="DW58" s="10"/>
      <c r="DX58" s="10"/>
      <c r="DY58" s="10"/>
      <c r="DZ58" s="10"/>
      <c r="EA58" s="10"/>
      <c r="EB58" s="10"/>
      <c r="EC58" s="10"/>
      <c r="ED58" s="10"/>
      <c r="EE58" s="10"/>
      <c r="EF58" s="10"/>
      <c r="EG58" s="10"/>
      <c r="EH58" s="10"/>
      <c r="EI58" s="10"/>
      <c r="EJ58" s="10"/>
      <c r="EK58" s="10"/>
      <c r="EL58" s="10"/>
      <c r="EM58" s="10"/>
      <c r="EN58" s="10"/>
      <c r="EO58" s="10"/>
      <c r="EP58" s="10"/>
      <c r="EQ58" s="10"/>
      <c r="ER58" s="10"/>
      <c r="ES58" s="10"/>
      <c r="ET58" s="10"/>
      <c r="EU58" s="10"/>
      <c r="EV58" s="10"/>
      <c r="EW58" s="10"/>
      <c r="EX58" s="10"/>
      <c r="EY58" s="10"/>
      <c r="EZ58" s="10"/>
      <c r="FA58" s="10"/>
      <c r="FB58" s="10"/>
      <c r="FC58" s="10"/>
      <c r="FD58" s="10"/>
      <c r="FE58" s="10"/>
    </row>
    <row r="59" spans="2:161" x14ac:dyDescent="0.25"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  <c r="BT59" s="10"/>
      <c r="BU59" s="10"/>
      <c r="BV59" s="10"/>
      <c r="BW59" s="10"/>
      <c r="BX59" s="10"/>
      <c r="BY59" s="10"/>
      <c r="BZ59" s="10"/>
      <c r="CA59" s="10"/>
      <c r="CB59" s="10"/>
      <c r="CC59" s="10"/>
      <c r="CD59" s="10"/>
      <c r="CE59" s="10"/>
      <c r="CF59" s="10"/>
      <c r="CG59" s="10"/>
      <c r="CH59" s="10"/>
      <c r="CI59" s="10"/>
      <c r="CJ59" s="10"/>
      <c r="CK59" s="10"/>
      <c r="CL59" s="10"/>
      <c r="CM59" s="10"/>
      <c r="CN59" s="10"/>
      <c r="CO59" s="10"/>
      <c r="CP59" s="10"/>
      <c r="CQ59" s="10"/>
      <c r="CR59" s="10"/>
      <c r="CS59" s="10"/>
      <c r="CT59" s="10"/>
      <c r="CU59" s="10"/>
      <c r="CV59" s="10"/>
      <c r="CW59" s="10"/>
      <c r="CX59" s="10"/>
      <c r="CY59" s="10"/>
      <c r="CZ59" s="10"/>
      <c r="DA59" s="10"/>
      <c r="DB59" s="10"/>
      <c r="DC59" s="10"/>
      <c r="DD59" s="10"/>
      <c r="DE59" s="10"/>
      <c r="DF59" s="10"/>
      <c r="DG59" s="10"/>
      <c r="DH59" s="10"/>
      <c r="DI59" s="10"/>
      <c r="DJ59" s="10"/>
      <c r="DK59" s="10"/>
      <c r="DL59" s="10"/>
      <c r="DM59" s="10"/>
      <c r="DN59" s="10"/>
      <c r="DO59" s="10"/>
      <c r="DP59" s="10"/>
      <c r="DQ59" s="10"/>
      <c r="DR59" s="10"/>
      <c r="DS59" s="10"/>
      <c r="DT59" s="10"/>
      <c r="DU59" s="10"/>
      <c r="DV59" s="10"/>
      <c r="DW59" s="10"/>
      <c r="DX59" s="10"/>
      <c r="DY59" s="10"/>
      <c r="DZ59" s="10"/>
      <c r="EA59" s="10"/>
      <c r="EB59" s="10"/>
      <c r="EC59" s="10"/>
      <c r="ED59" s="10"/>
      <c r="EE59" s="10"/>
      <c r="EF59" s="10"/>
      <c r="EG59" s="10"/>
      <c r="EH59" s="10"/>
      <c r="EI59" s="10"/>
      <c r="EJ59" s="10"/>
      <c r="EK59" s="10"/>
      <c r="EL59" s="10"/>
      <c r="EM59" s="10"/>
      <c r="EN59" s="10"/>
      <c r="EO59" s="10"/>
      <c r="EP59" s="10"/>
      <c r="EQ59" s="10"/>
      <c r="ER59" s="10"/>
      <c r="ES59" s="10"/>
      <c r="ET59" s="10"/>
      <c r="EU59" s="10"/>
      <c r="EV59" s="10"/>
      <c r="EW59" s="10"/>
      <c r="EX59" s="10"/>
      <c r="EY59" s="10"/>
      <c r="EZ59" s="10"/>
      <c r="FA59" s="10"/>
      <c r="FB59" s="10"/>
      <c r="FC59" s="10"/>
      <c r="FD59" s="10"/>
      <c r="FE59" s="10"/>
    </row>
    <row r="60" spans="2:161" x14ac:dyDescent="0.25"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  <c r="BT60" s="10"/>
      <c r="BU60" s="10"/>
      <c r="BV60" s="10"/>
      <c r="BW60" s="10"/>
      <c r="BX60" s="10"/>
      <c r="BY60" s="10"/>
      <c r="BZ60" s="10"/>
      <c r="CA60" s="10"/>
      <c r="CB60" s="10"/>
      <c r="CC60" s="10"/>
      <c r="CD60" s="10"/>
      <c r="CE60" s="10"/>
      <c r="CF60" s="10"/>
      <c r="CG60" s="10"/>
      <c r="CH60" s="10"/>
      <c r="CI60" s="10"/>
      <c r="CJ60" s="10"/>
      <c r="CK60" s="10"/>
      <c r="CL60" s="10"/>
      <c r="CM60" s="10"/>
      <c r="CN60" s="10"/>
      <c r="CO60" s="10"/>
      <c r="CP60" s="10"/>
      <c r="CQ60" s="10"/>
      <c r="CR60" s="10"/>
      <c r="CS60" s="10"/>
      <c r="CT60" s="10"/>
      <c r="CU60" s="10"/>
      <c r="CV60" s="10"/>
      <c r="CW60" s="10"/>
      <c r="CX60" s="10"/>
      <c r="CY60" s="10"/>
      <c r="CZ60" s="10"/>
      <c r="DA60" s="10"/>
      <c r="DB60" s="10"/>
      <c r="DC60" s="10"/>
      <c r="DD60" s="10"/>
      <c r="DE60" s="10"/>
      <c r="DF60" s="10"/>
      <c r="DG60" s="10"/>
      <c r="DH60" s="10"/>
      <c r="DI60" s="10"/>
      <c r="DJ60" s="10"/>
      <c r="DK60" s="10"/>
      <c r="DL60" s="10"/>
      <c r="DM60" s="10"/>
      <c r="DN60" s="10"/>
      <c r="DO60" s="10"/>
      <c r="DP60" s="10"/>
      <c r="DQ60" s="10"/>
      <c r="DR60" s="10"/>
      <c r="DS60" s="10"/>
      <c r="DT60" s="10"/>
      <c r="DU60" s="10"/>
      <c r="DV60" s="10"/>
      <c r="DW60" s="10"/>
      <c r="DX60" s="10"/>
      <c r="DY60" s="10"/>
      <c r="DZ60" s="10"/>
      <c r="EA60" s="10"/>
      <c r="EB60" s="10"/>
      <c r="EC60" s="10"/>
      <c r="ED60" s="10"/>
      <c r="EE60" s="10"/>
      <c r="EF60" s="10"/>
      <c r="EG60" s="10"/>
      <c r="EH60" s="10"/>
      <c r="EI60" s="10"/>
      <c r="EJ60" s="10"/>
      <c r="EK60" s="10"/>
      <c r="EL60" s="10"/>
      <c r="EM60" s="10"/>
      <c r="EN60" s="10"/>
      <c r="EO60" s="10"/>
      <c r="EP60" s="10"/>
      <c r="EQ60" s="10"/>
      <c r="ER60" s="10"/>
      <c r="ES60" s="10"/>
      <c r="ET60" s="10"/>
      <c r="EU60" s="10"/>
      <c r="EV60" s="10"/>
      <c r="EW60" s="10"/>
      <c r="EX60" s="10"/>
      <c r="EY60" s="10"/>
      <c r="EZ60" s="10"/>
      <c r="FA60" s="10"/>
      <c r="FB60" s="10"/>
      <c r="FC60" s="10"/>
      <c r="FD60" s="10"/>
      <c r="FE60" s="10"/>
    </row>
    <row r="61" spans="2:161" x14ac:dyDescent="0.25"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  <c r="BT61" s="10"/>
      <c r="BU61" s="10"/>
      <c r="BV61" s="10"/>
      <c r="BW61" s="10"/>
      <c r="BX61" s="10"/>
      <c r="BY61" s="10"/>
      <c r="BZ61" s="10"/>
      <c r="CA61" s="10"/>
      <c r="CB61" s="10"/>
      <c r="CC61" s="10"/>
      <c r="CD61" s="10"/>
      <c r="CE61" s="10"/>
      <c r="CF61" s="10"/>
      <c r="CG61" s="10"/>
      <c r="CH61" s="10"/>
      <c r="CI61" s="10"/>
      <c r="CJ61" s="10"/>
      <c r="CK61" s="10"/>
      <c r="CL61" s="10"/>
      <c r="CM61" s="10"/>
      <c r="CN61" s="10"/>
      <c r="CO61" s="10"/>
      <c r="CP61" s="10"/>
      <c r="CQ61" s="10"/>
      <c r="CR61" s="10"/>
      <c r="CS61" s="10"/>
      <c r="CT61" s="10"/>
      <c r="CU61" s="10"/>
      <c r="CV61" s="10"/>
      <c r="CW61" s="10"/>
      <c r="CX61" s="10"/>
      <c r="CY61" s="10"/>
      <c r="CZ61" s="10"/>
      <c r="DA61" s="10"/>
      <c r="DB61" s="10"/>
      <c r="DC61" s="10"/>
      <c r="DD61" s="10"/>
      <c r="DE61" s="10"/>
      <c r="DF61" s="10"/>
      <c r="DG61" s="10"/>
      <c r="DH61" s="10"/>
      <c r="DI61" s="10"/>
      <c r="DJ61" s="10"/>
      <c r="DK61" s="10"/>
      <c r="DL61" s="10"/>
      <c r="DM61" s="10"/>
      <c r="DN61" s="10"/>
      <c r="DO61" s="10"/>
      <c r="DP61" s="10"/>
      <c r="DQ61" s="10"/>
      <c r="DR61" s="10"/>
      <c r="DS61" s="10"/>
      <c r="DT61" s="10"/>
      <c r="DU61" s="10"/>
      <c r="DV61" s="10"/>
      <c r="DW61" s="10"/>
      <c r="DX61" s="10"/>
      <c r="DY61" s="10"/>
      <c r="DZ61" s="10"/>
      <c r="EA61" s="10"/>
      <c r="EB61" s="10"/>
      <c r="EC61" s="10"/>
      <c r="ED61" s="10"/>
      <c r="EE61" s="10"/>
      <c r="EF61" s="10"/>
      <c r="EG61" s="10"/>
      <c r="EH61" s="10"/>
      <c r="EI61" s="10"/>
      <c r="EJ61" s="10"/>
      <c r="EK61" s="10"/>
      <c r="EL61" s="10"/>
      <c r="EM61" s="10"/>
      <c r="EN61" s="10"/>
      <c r="EO61" s="10"/>
      <c r="EP61" s="10"/>
      <c r="EQ61" s="10"/>
      <c r="ER61" s="10"/>
      <c r="ES61" s="10"/>
      <c r="ET61" s="10"/>
      <c r="EU61" s="10"/>
      <c r="EV61" s="10"/>
      <c r="EW61" s="10"/>
      <c r="EX61" s="10"/>
      <c r="EY61" s="10"/>
      <c r="EZ61" s="10"/>
      <c r="FA61" s="10"/>
      <c r="FB61" s="10"/>
      <c r="FC61" s="10"/>
      <c r="FD61" s="10"/>
      <c r="FE61" s="10"/>
    </row>
    <row r="62" spans="2:161" x14ac:dyDescent="0.25"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  <c r="BT62" s="10"/>
      <c r="BU62" s="10"/>
      <c r="BV62" s="10"/>
      <c r="BW62" s="10"/>
      <c r="BX62" s="10"/>
      <c r="BY62" s="10"/>
      <c r="BZ62" s="10"/>
      <c r="CA62" s="10"/>
      <c r="CB62" s="10"/>
      <c r="CC62" s="10"/>
      <c r="CD62" s="10"/>
      <c r="CE62" s="10"/>
      <c r="CF62" s="10"/>
      <c r="CG62" s="10"/>
      <c r="CH62" s="10"/>
      <c r="CI62" s="10"/>
      <c r="CJ62" s="10"/>
      <c r="CK62" s="10"/>
      <c r="CL62" s="10"/>
      <c r="CM62" s="10"/>
      <c r="CN62" s="10"/>
      <c r="CO62" s="10"/>
      <c r="CP62" s="10"/>
      <c r="CQ62" s="10"/>
      <c r="CR62" s="10"/>
      <c r="CS62" s="10"/>
      <c r="CT62" s="10"/>
      <c r="CU62" s="10"/>
      <c r="CV62" s="10"/>
      <c r="CW62" s="10"/>
      <c r="CX62" s="10"/>
      <c r="CY62" s="10"/>
      <c r="CZ62" s="10"/>
      <c r="DA62" s="10"/>
      <c r="DB62" s="10"/>
      <c r="DC62" s="10"/>
      <c r="DD62" s="10"/>
      <c r="DE62" s="10"/>
      <c r="DF62" s="10"/>
      <c r="DG62" s="10"/>
      <c r="DH62" s="10"/>
      <c r="DI62" s="10"/>
      <c r="DJ62" s="10"/>
      <c r="DK62" s="10"/>
      <c r="DL62" s="10"/>
      <c r="DM62" s="10"/>
      <c r="DN62" s="10"/>
      <c r="DO62" s="10"/>
      <c r="DP62" s="10"/>
      <c r="DQ62" s="10"/>
      <c r="DR62" s="10"/>
      <c r="DS62" s="10"/>
      <c r="DT62" s="10"/>
      <c r="DU62" s="10"/>
      <c r="DV62" s="10"/>
      <c r="DW62" s="10"/>
      <c r="DX62" s="10"/>
      <c r="DY62" s="10"/>
      <c r="DZ62" s="10"/>
      <c r="EA62" s="10"/>
      <c r="EB62" s="10"/>
      <c r="EC62" s="10"/>
      <c r="ED62" s="10"/>
      <c r="EE62" s="10"/>
      <c r="EF62" s="10"/>
      <c r="EG62" s="10"/>
      <c r="EH62" s="10"/>
      <c r="EI62" s="10"/>
      <c r="EJ62" s="10"/>
      <c r="EK62" s="10"/>
      <c r="EL62" s="10"/>
      <c r="EM62" s="10"/>
      <c r="EN62" s="10"/>
      <c r="EO62" s="10"/>
      <c r="EP62" s="10"/>
      <c r="EQ62" s="10"/>
      <c r="ER62" s="10"/>
      <c r="ES62" s="10"/>
      <c r="ET62" s="10"/>
      <c r="EU62" s="10"/>
      <c r="EV62" s="10"/>
      <c r="EW62" s="10"/>
      <c r="EX62" s="10"/>
      <c r="EY62" s="10"/>
      <c r="EZ62" s="10"/>
      <c r="FA62" s="10"/>
      <c r="FB62" s="10"/>
      <c r="FC62" s="10"/>
      <c r="FD62" s="10"/>
      <c r="FE62" s="10"/>
    </row>
    <row r="63" spans="2:161" x14ac:dyDescent="0.25"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  <c r="BT63" s="10"/>
      <c r="BU63" s="10"/>
      <c r="BV63" s="10"/>
      <c r="BW63" s="10"/>
      <c r="BX63" s="10"/>
      <c r="BY63" s="10"/>
      <c r="BZ63" s="10"/>
      <c r="CA63" s="10"/>
      <c r="CB63" s="10"/>
      <c r="CC63" s="10"/>
      <c r="CD63" s="10"/>
      <c r="CE63" s="10"/>
      <c r="CF63" s="10"/>
      <c r="CG63" s="10"/>
      <c r="CH63" s="10"/>
      <c r="CI63" s="10"/>
      <c r="CJ63" s="10"/>
      <c r="CK63" s="10"/>
      <c r="CL63" s="10"/>
      <c r="CM63" s="10"/>
      <c r="CN63" s="10"/>
      <c r="CO63" s="10"/>
      <c r="CP63" s="10"/>
      <c r="CQ63" s="10"/>
      <c r="CR63" s="10"/>
      <c r="CS63" s="10"/>
      <c r="CT63" s="10"/>
      <c r="CU63" s="10"/>
      <c r="CV63" s="10"/>
      <c r="CW63" s="10"/>
      <c r="CX63" s="10"/>
      <c r="CY63" s="10"/>
      <c r="CZ63" s="10"/>
      <c r="DA63" s="10"/>
      <c r="DB63" s="10"/>
      <c r="DC63" s="10"/>
      <c r="DD63" s="10"/>
      <c r="DE63" s="10"/>
      <c r="DF63" s="10"/>
      <c r="DG63" s="10"/>
      <c r="DH63" s="10"/>
      <c r="DI63" s="10"/>
      <c r="DJ63" s="10"/>
      <c r="DK63" s="10"/>
      <c r="DL63" s="10"/>
      <c r="DM63" s="10"/>
      <c r="DN63" s="10"/>
      <c r="DO63" s="10"/>
      <c r="DP63" s="10"/>
      <c r="DQ63" s="10"/>
      <c r="DR63" s="10"/>
      <c r="DS63" s="10"/>
      <c r="DT63" s="10"/>
      <c r="DU63" s="10"/>
      <c r="DV63" s="10"/>
      <c r="DW63" s="10"/>
      <c r="DX63" s="10"/>
      <c r="DY63" s="10"/>
      <c r="DZ63" s="10"/>
      <c r="EA63" s="10"/>
      <c r="EB63" s="10"/>
      <c r="EC63" s="10"/>
      <c r="ED63" s="10"/>
      <c r="EE63" s="10"/>
      <c r="EF63" s="10"/>
      <c r="EG63" s="10"/>
      <c r="EH63" s="10"/>
      <c r="EI63" s="10"/>
      <c r="EJ63" s="10"/>
      <c r="EK63" s="10"/>
      <c r="EL63" s="10"/>
      <c r="EM63" s="10"/>
      <c r="EN63" s="10"/>
      <c r="EO63" s="10"/>
      <c r="EP63" s="10"/>
      <c r="EQ63" s="10"/>
      <c r="ER63" s="10"/>
      <c r="ES63" s="10"/>
      <c r="ET63" s="10"/>
      <c r="EU63" s="10"/>
      <c r="EV63" s="10"/>
      <c r="EW63" s="10"/>
      <c r="EX63" s="10"/>
      <c r="EY63" s="10"/>
      <c r="EZ63" s="10"/>
      <c r="FA63" s="10"/>
      <c r="FB63" s="10"/>
      <c r="FC63" s="10"/>
      <c r="FD63" s="10"/>
      <c r="FE63" s="10"/>
    </row>
    <row r="64" spans="2:161" x14ac:dyDescent="0.25"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  <c r="BT64" s="10"/>
      <c r="BU64" s="10"/>
      <c r="BV64" s="10"/>
      <c r="BW64" s="10"/>
      <c r="BX64" s="10"/>
      <c r="BY64" s="10"/>
      <c r="BZ64" s="10"/>
      <c r="CA64" s="10"/>
      <c r="CB64" s="10"/>
      <c r="CC64" s="10"/>
      <c r="CD64" s="10"/>
      <c r="CE64" s="10"/>
      <c r="CF64" s="10"/>
      <c r="CG64" s="10"/>
      <c r="CH64" s="10"/>
      <c r="CI64" s="10"/>
      <c r="CJ64" s="10"/>
      <c r="CK64" s="10"/>
      <c r="CL64" s="10"/>
      <c r="CM64" s="10"/>
      <c r="CN64" s="10"/>
      <c r="CO64" s="10"/>
      <c r="CP64" s="10"/>
      <c r="CQ64" s="10"/>
      <c r="CR64" s="10"/>
      <c r="CS64" s="10"/>
      <c r="CT64" s="10"/>
      <c r="CU64" s="10"/>
      <c r="CV64" s="10"/>
      <c r="CW64" s="10"/>
      <c r="CX64" s="10"/>
      <c r="CY64" s="10"/>
      <c r="CZ64" s="10"/>
      <c r="DA64" s="10"/>
      <c r="DB64" s="10"/>
      <c r="DC64" s="10"/>
      <c r="DD64" s="10"/>
      <c r="DE64" s="10"/>
      <c r="DF64" s="10"/>
      <c r="DG64" s="10"/>
      <c r="DH64" s="10"/>
      <c r="DI64" s="10"/>
      <c r="DJ64" s="10"/>
      <c r="DK64" s="10"/>
      <c r="DL64" s="10"/>
      <c r="DM64" s="10"/>
      <c r="DN64" s="10"/>
      <c r="DO64" s="10"/>
      <c r="DP64" s="10"/>
      <c r="DQ64" s="10"/>
      <c r="DR64" s="10"/>
      <c r="DS64" s="10"/>
      <c r="DT64" s="10"/>
      <c r="DU64" s="10"/>
      <c r="DV64" s="10"/>
      <c r="DW64" s="10"/>
      <c r="DX64" s="10"/>
      <c r="DY64" s="10"/>
      <c r="DZ64" s="10"/>
      <c r="EA64" s="10"/>
      <c r="EB64" s="10"/>
      <c r="EC64" s="10"/>
      <c r="ED64" s="10"/>
      <c r="EE64" s="10"/>
      <c r="EF64" s="10"/>
      <c r="EG64" s="10"/>
      <c r="EH64" s="10"/>
      <c r="EI64" s="10"/>
      <c r="EJ64" s="10"/>
      <c r="EK64" s="10"/>
      <c r="EL64" s="10"/>
      <c r="EM64" s="10"/>
      <c r="EN64" s="10"/>
      <c r="EO64" s="10"/>
      <c r="EP64" s="10"/>
      <c r="EQ64" s="10"/>
      <c r="ER64" s="10"/>
      <c r="ES64" s="10"/>
      <c r="ET64" s="10"/>
      <c r="EU64" s="10"/>
      <c r="EV64" s="10"/>
      <c r="EW64" s="10"/>
      <c r="EX64" s="10"/>
      <c r="EY64" s="10"/>
      <c r="EZ64" s="10"/>
      <c r="FA64" s="10"/>
      <c r="FB64" s="10"/>
      <c r="FC64" s="10"/>
      <c r="FD64" s="10"/>
      <c r="FE64" s="10"/>
    </row>
    <row r="65" spans="2:161" x14ac:dyDescent="0.25"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  <c r="BT65" s="10"/>
      <c r="BU65" s="10"/>
      <c r="BV65" s="10"/>
      <c r="BW65" s="10"/>
      <c r="BX65" s="10"/>
      <c r="BY65" s="10"/>
      <c r="BZ65" s="10"/>
      <c r="CA65" s="10"/>
      <c r="CB65" s="10"/>
      <c r="CC65" s="10"/>
      <c r="CD65" s="10"/>
      <c r="CE65" s="10"/>
      <c r="CF65" s="10"/>
      <c r="CG65" s="10"/>
      <c r="CH65" s="10"/>
      <c r="CI65" s="10"/>
      <c r="CJ65" s="10"/>
      <c r="CK65" s="10"/>
      <c r="CL65" s="10"/>
      <c r="CM65" s="10"/>
      <c r="CN65" s="10"/>
      <c r="CO65" s="10"/>
      <c r="CP65" s="10"/>
      <c r="CQ65" s="10"/>
      <c r="CR65" s="10"/>
      <c r="CS65" s="10"/>
      <c r="CT65" s="10"/>
      <c r="CU65" s="10"/>
      <c r="CV65" s="10"/>
      <c r="CW65" s="10"/>
      <c r="CX65" s="10"/>
      <c r="CY65" s="10"/>
      <c r="CZ65" s="10"/>
      <c r="DA65" s="10"/>
      <c r="DB65" s="10"/>
      <c r="DC65" s="10"/>
      <c r="DD65" s="10"/>
      <c r="DE65" s="10"/>
      <c r="DF65" s="10"/>
      <c r="DG65" s="10"/>
      <c r="DH65" s="10"/>
      <c r="DI65" s="10"/>
      <c r="DJ65" s="10"/>
      <c r="DK65" s="10"/>
      <c r="DL65" s="10"/>
      <c r="DM65" s="10"/>
      <c r="DN65" s="10"/>
      <c r="DO65" s="10"/>
      <c r="DP65" s="10"/>
      <c r="DQ65" s="10"/>
      <c r="DR65" s="10"/>
      <c r="DS65" s="10"/>
      <c r="DT65" s="10"/>
      <c r="DU65" s="10"/>
      <c r="DV65" s="10"/>
      <c r="DW65" s="10"/>
      <c r="DX65" s="10"/>
      <c r="DY65" s="10"/>
      <c r="DZ65" s="10"/>
      <c r="EA65" s="10"/>
      <c r="EB65" s="10"/>
      <c r="EC65" s="10"/>
      <c r="ED65" s="10"/>
      <c r="EE65" s="10"/>
      <c r="EF65" s="10"/>
      <c r="EG65" s="10"/>
      <c r="EH65" s="10"/>
      <c r="EI65" s="10"/>
      <c r="EJ65" s="10"/>
      <c r="EK65" s="10"/>
      <c r="EL65" s="10"/>
      <c r="EM65" s="10"/>
      <c r="EN65" s="10"/>
      <c r="EO65" s="10"/>
      <c r="EP65" s="10"/>
      <c r="EQ65" s="10"/>
      <c r="ER65" s="10"/>
      <c r="ES65" s="10"/>
      <c r="ET65" s="10"/>
      <c r="EU65" s="10"/>
      <c r="EV65" s="10"/>
      <c r="EW65" s="10"/>
      <c r="EX65" s="10"/>
      <c r="EY65" s="10"/>
      <c r="EZ65" s="10"/>
      <c r="FA65" s="10"/>
      <c r="FB65" s="10"/>
      <c r="FC65" s="10"/>
      <c r="FD65" s="10"/>
      <c r="FE65" s="10"/>
    </row>
    <row r="66" spans="2:161" x14ac:dyDescent="0.25"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  <c r="BT66" s="10"/>
      <c r="BU66" s="10"/>
      <c r="BV66" s="10"/>
      <c r="BW66" s="10"/>
      <c r="BX66" s="10"/>
      <c r="BY66" s="10"/>
      <c r="BZ66" s="10"/>
      <c r="CA66" s="10"/>
      <c r="CB66" s="10"/>
      <c r="CC66" s="10"/>
      <c r="CD66" s="10"/>
      <c r="CE66" s="10"/>
      <c r="CF66" s="10"/>
      <c r="CG66" s="10"/>
      <c r="CH66" s="10"/>
      <c r="CI66" s="10"/>
      <c r="CJ66" s="10"/>
      <c r="CK66" s="10"/>
      <c r="CL66" s="10"/>
      <c r="CM66" s="10"/>
      <c r="CN66" s="10"/>
      <c r="CO66" s="10"/>
      <c r="CP66" s="10"/>
      <c r="CQ66" s="10"/>
      <c r="CR66" s="10"/>
      <c r="CS66" s="10"/>
      <c r="CT66" s="10"/>
      <c r="CU66" s="10"/>
      <c r="CV66" s="10"/>
      <c r="CW66" s="10"/>
      <c r="CX66" s="10"/>
      <c r="CY66" s="10"/>
      <c r="CZ66" s="10"/>
      <c r="DA66" s="10"/>
      <c r="DB66" s="10"/>
      <c r="DC66" s="10"/>
      <c r="DD66" s="10"/>
      <c r="DE66" s="10"/>
      <c r="DF66" s="10"/>
      <c r="DG66" s="10"/>
      <c r="DH66" s="10"/>
      <c r="DI66" s="10"/>
      <c r="DJ66" s="10"/>
      <c r="DK66" s="10"/>
      <c r="DL66" s="10"/>
      <c r="DM66" s="10"/>
      <c r="DN66" s="10"/>
      <c r="DO66" s="10"/>
      <c r="DP66" s="10"/>
      <c r="DQ66" s="10"/>
      <c r="DR66" s="10"/>
      <c r="DS66" s="10"/>
      <c r="DT66" s="10"/>
      <c r="DU66" s="10"/>
      <c r="DV66" s="10"/>
      <c r="DW66" s="10"/>
      <c r="DX66" s="10"/>
      <c r="DY66" s="10"/>
      <c r="DZ66" s="10"/>
      <c r="EA66" s="10"/>
      <c r="EB66" s="10"/>
      <c r="EC66" s="10"/>
      <c r="ED66" s="10"/>
      <c r="EE66" s="10"/>
      <c r="EF66" s="10"/>
      <c r="EG66" s="10"/>
      <c r="EH66" s="10"/>
      <c r="EI66" s="10"/>
      <c r="EJ66" s="10"/>
      <c r="EK66" s="10"/>
      <c r="EL66" s="10"/>
      <c r="EM66" s="10"/>
      <c r="EN66" s="10"/>
      <c r="EO66" s="10"/>
      <c r="EP66" s="10"/>
      <c r="EQ66" s="10"/>
      <c r="ER66" s="10"/>
      <c r="ES66" s="10"/>
      <c r="ET66" s="10"/>
      <c r="EU66" s="10"/>
      <c r="EV66" s="10"/>
      <c r="EW66" s="10"/>
      <c r="EX66" s="10"/>
      <c r="EY66" s="10"/>
      <c r="EZ66" s="10"/>
      <c r="FA66" s="10"/>
      <c r="FB66" s="10"/>
      <c r="FC66" s="10"/>
      <c r="FD66" s="10"/>
      <c r="FE66" s="10"/>
    </row>
    <row r="67" spans="2:161" x14ac:dyDescent="0.25"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  <c r="BT67" s="10"/>
      <c r="BU67" s="10"/>
      <c r="BV67" s="10"/>
      <c r="BW67" s="10"/>
      <c r="BX67" s="10"/>
      <c r="BY67" s="10"/>
      <c r="BZ67" s="10"/>
      <c r="CA67" s="10"/>
      <c r="CB67" s="10"/>
      <c r="CC67" s="10"/>
      <c r="CD67" s="10"/>
      <c r="CE67" s="10"/>
      <c r="CF67" s="10"/>
      <c r="CG67" s="10"/>
      <c r="CH67" s="10"/>
      <c r="CI67" s="10"/>
      <c r="CJ67" s="10"/>
      <c r="CK67" s="10"/>
      <c r="CL67" s="10"/>
      <c r="CM67" s="10"/>
      <c r="CN67" s="10"/>
      <c r="CO67" s="10"/>
      <c r="CP67" s="10"/>
      <c r="CQ67" s="10"/>
      <c r="CR67" s="10"/>
      <c r="CS67" s="10"/>
      <c r="CT67" s="10"/>
      <c r="CU67" s="10"/>
      <c r="CV67" s="10"/>
      <c r="CW67" s="10"/>
      <c r="CX67" s="10"/>
      <c r="CY67" s="10"/>
      <c r="CZ67" s="10"/>
      <c r="DA67" s="10"/>
      <c r="DB67" s="10"/>
      <c r="DC67" s="10"/>
      <c r="DD67" s="10"/>
      <c r="DE67" s="10"/>
      <c r="DF67" s="10"/>
      <c r="DG67" s="10"/>
      <c r="DH67" s="10"/>
      <c r="DI67" s="10"/>
      <c r="DJ67" s="10"/>
      <c r="DK67" s="10"/>
      <c r="DL67" s="10"/>
      <c r="DM67" s="10"/>
      <c r="DN67" s="10"/>
      <c r="DO67" s="10"/>
      <c r="DP67" s="10"/>
      <c r="DQ67" s="10"/>
      <c r="DR67" s="10"/>
      <c r="DS67" s="10"/>
      <c r="DT67" s="10"/>
      <c r="DU67" s="10"/>
      <c r="DV67" s="10"/>
      <c r="DW67" s="10"/>
      <c r="DX67" s="10"/>
      <c r="DY67" s="10"/>
      <c r="DZ67" s="10"/>
      <c r="EA67" s="10"/>
      <c r="EB67" s="10"/>
      <c r="EC67" s="10"/>
      <c r="ED67" s="10"/>
      <c r="EE67" s="10"/>
      <c r="EF67" s="10"/>
      <c r="EG67" s="10"/>
      <c r="EH67" s="10"/>
      <c r="EI67" s="10"/>
      <c r="EJ67" s="10"/>
      <c r="EK67" s="10"/>
      <c r="EL67" s="10"/>
      <c r="EM67" s="10"/>
      <c r="EN67" s="10"/>
      <c r="EO67" s="10"/>
      <c r="EP67" s="10"/>
      <c r="EQ67" s="10"/>
      <c r="ER67" s="10"/>
      <c r="ES67" s="10"/>
      <c r="ET67" s="10"/>
      <c r="EU67" s="10"/>
      <c r="EV67" s="10"/>
      <c r="EW67" s="10"/>
      <c r="EX67" s="10"/>
      <c r="EY67" s="10"/>
      <c r="EZ67" s="10"/>
      <c r="FA67" s="10"/>
      <c r="FB67" s="10"/>
      <c r="FC67" s="10"/>
      <c r="FD67" s="10"/>
      <c r="FE67" s="10"/>
    </row>
    <row r="68" spans="2:161" x14ac:dyDescent="0.25"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  <c r="BT68" s="10"/>
      <c r="BU68" s="10"/>
      <c r="BV68" s="10"/>
      <c r="BW68" s="10"/>
      <c r="BX68" s="10"/>
      <c r="BY68" s="10"/>
      <c r="BZ68" s="10"/>
      <c r="CA68" s="10"/>
      <c r="CB68" s="10"/>
      <c r="CC68" s="10"/>
      <c r="CD68" s="10"/>
      <c r="CE68" s="10"/>
      <c r="CF68" s="10"/>
      <c r="CG68" s="10"/>
      <c r="CH68" s="10"/>
      <c r="CI68" s="10"/>
      <c r="CJ68" s="10"/>
      <c r="CK68" s="10"/>
      <c r="CL68" s="10"/>
      <c r="CM68" s="10"/>
      <c r="CN68" s="10"/>
      <c r="CO68" s="10"/>
      <c r="CP68" s="10"/>
      <c r="CQ68" s="10"/>
      <c r="CR68" s="10"/>
      <c r="CS68" s="10"/>
      <c r="CT68" s="10"/>
      <c r="CU68" s="10"/>
      <c r="CV68" s="10"/>
      <c r="CW68" s="10"/>
      <c r="CX68" s="10"/>
      <c r="CY68" s="10"/>
      <c r="CZ68" s="10"/>
      <c r="DA68" s="10"/>
      <c r="DB68" s="10"/>
      <c r="DC68" s="10"/>
      <c r="DD68" s="10"/>
      <c r="DE68" s="10"/>
      <c r="DF68" s="10"/>
      <c r="DG68" s="10"/>
      <c r="DH68" s="10"/>
      <c r="DI68" s="10"/>
      <c r="DJ68" s="10"/>
      <c r="DK68" s="10"/>
      <c r="DL68" s="10"/>
      <c r="DM68" s="10"/>
      <c r="DN68" s="10"/>
      <c r="DO68" s="10"/>
      <c r="DP68" s="10"/>
      <c r="DQ68" s="10"/>
      <c r="DR68" s="10"/>
      <c r="DS68" s="10"/>
      <c r="DT68" s="10"/>
      <c r="DU68" s="10"/>
      <c r="DV68" s="10"/>
      <c r="DW68" s="10"/>
      <c r="DX68" s="10"/>
      <c r="DY68" s="10"/>
      <c r="DZ68" s="10"/>
      <c r="EA68" s="10"/>
      <c r="EB68" s="10"/>
      <c r="EC68" s="10"/>
      <c r="ED68" s="10"/>
      <c r="EE68" s="10"/>
      <c r="EF68" s="10"/>
      <c r="EG68" s="10"/>
      <c r="EH68" s="10"/>
      <c r="EI68" s="10"/>
      <c r="EJ68" s="10"/>
      <c r="EK68" s="10"/>
      <c r="EL68" s="10"/>
      <c r="EM68" s="10"/>
      <c r="EN68" s="10"/>
      <c r="EO68" s="10"/>
      <c r="EP68" s="10"/>
      <c r="EQ68" s="10"/>
      <c r="ER68" s="10"/>
      <c r="ES68" s="10"/>
      <c r="ET68" s="10"/>
      <c r="EU68" s="10"/>
      <c r="EV68" s="10"/>
      <c r="EW68" s="10"/>
      <c r="EX68" s="10"/>
      <c r="EY68" s="10"/>
      <c r="EZ68" s="10"/>
      <c r="FA68" s="10"/>
      <c r="FB68" s="10"/>
      <c r="FC68" s="10"/>
      <c r="FD68" s="10"/>
      <c r="FE68" s="10"/>
    </row>
    <row r="69" spans="2:161" x14ac:dyDescent="0.25"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  <c r="BT69" s="10"/>
      <c r="BU69" s="10"/>
      <c r="BV69" s="10"/>
      <c r="BW69" s="10"/>
      <c r="BX69" s="10"/>
      <c r="BY69" s="10"/>
      <c r="BZ69" s="10"/>
      <c r="CA69" s="10"/>
      <c r="CB69" s="10"/>
      <c r="CC69" s="10"/>
      <c r="CD69" s="10"/>
      <c r="CE69" s="10"/>
      <c r="CF69" s="10"/>
      <c r="CG69" s="10"/>
      <c r="CH69" s="10"/>
      <c r="CI69" s="10"/>
      <c r="CJ69" s="10"/>
      <c r="CK69" s="10"/>
      <c r="CL69" s="10"/>
      <c r="CM69" s="10"/>
      <c r="CN69" s="10"/>
      <c r="CO69" s="10"/>
      <c r="CP69" s="10"/>
      <c r="CQ69" s="10"/>
      <c r="CR69" s="10"/>
      <c r="CS69" s="10"/>
      <c r="CT69" s="10"/>
      <c r="CU69" s="10"/>
      <c r="CV69" s="10"/>
      <c r="CW69" s="10"/>
      <c r="CX69" s="10"/>
      <c r="CY69" s="10"/>
      <c r="CZ69" s="10"/>
      <c r="DA69" s="10"/>
      <c r="DB69" s="10"/>
      <c r="DC69" s="10"/>
      <c r="DD69" s="10"/>
      <c r="DE69" s="10"/>
      <c r="DF69" s="10"/>
      <c r="DG69" s="10"/>
      <c r="DH69" s="10"/>
      <c r="DI69" s="10"/>
      <c r="DJ69" s="10"/>
      <c r="DK69" s="10"/>
      <c r="DL69" s="10"/>
      <c r="DM69" s="10"/>
      <c r="DN69" s="10"/>
      <c r="DO69" s="10"/>
      <c r="DP69" s="10"/>
      <c r="DQ69" s="10"/>
      <c r="DR69" s="10"/>
      <c r="DS69" s="10"/>
      <c r="DT69" s="10"/>
      <c r="DU69" s="10"/>
      <c r="DV69" s="10"/>
      <c r="DW69" s="10"/>
      <c r="DX69" s="10"/>
      <c r="DY69" s="10"/>
      <c r="DZ69" s="10"/>
      <c r="EA69" s="10"/>
      <c r="EB69" s="10"/>
      <c r="EC69" s="10"/>
      <c r="ED69" s="10"/>
      <c r="EE69" s="10"/>
      <c r="EF69" s="10"/>
      <c r="EG69" s="10"/>
      <c r="EH69" s="10"/>
      <c r="EI69" s="10"/>
      <c r="EJ69" s="10"/>
      <c r="EK69" s="10"/>
      <c r="EL69" s="10"/>
      <c r="EM69" s="10"/>
      <c r="EN69" s="10"/>
      <c r="EO69" s="10"/>
      <c r="EP69" s="10"/>
      <c r="EQ69" s="10"/>
      <c r="ER69" s="10"/>
      <c r="ES69" s="10"/>
      <c r="ET69" s="10"/>
      <c r="EU69" s="10"/>
      <c r="EV69" s="10"/>
      <c r="EW69" s="10"/>
      <c r="EX69" s="10"/>
      <c r="EY69" s="10"/>
      <c r="EZ69" s="10"/>
      <c r="FA69" s="10"/>
      <c r="FB69" s="10"/>
      <c r="FC69" s="10"/>
      <c r="FD69" s="10"/>
      <c r="FE69" s="10"/>
    </row>
    <row r="70" spans="2:161" x14ac:dyDescent="0.25"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  <c r="BT70" s="10"/>
      <c r="BU70" s="10"/>
      <c r="BV70" s="10"/>
      <c r="BW70" s="10"/>
      <c r="BX70" s="10"/>
      <c r="BY70" s="10"/>
      <c r="BZ70" s="10"/>
      <c r="CA70" s="10"/>
      <c r="CB70" s="10"/>
      <c r="CC70" s="10"/>
      <c r="CD70" s="10"/>
      <c r="CE70" s="10"/>
      <c r="CF70" s="10"/>
      <c r="CG70" s="10"/>
      <c r="CH70" s="10"/>
      <c r="CI70" s="10"/>
      <c r="CJ70" s="10"/>
      <c r="CK70" s="10"/>
      <c r="CL70" s="10"/>
      <c r="CM70" s="10"/>
      <c r="CN70" s="10"/>
      <c r="CO70" s="10"/>
      <c r="CP70" s="10"/>
      <c r="CQ70" s="10"/>
      <c r="CR70" s="10"/>
      <c r="CS70" s="10"/>
      <c r="CT70" s="10"/>
      <c r="CU70" s="10"/>
      <c r="CV70" s="10"/>
      <c r="CW70" s="10"/>
      <c r="CX70" s="10"/>
      <c r="CY70" s="10"/>
      <c r="CZ70" s="10"/>
      <c r="DA70" s="10"/>
      <c r="DB70" s="10"/>
      <c r="DC70" s="10"/>
      <c r="DD70" s="10"/>
      <c r="DE70" s="10"/>
      <c r="DF70" s="10"/>
      <c r="DG70" s="10"/>
      <c r="DH70" s="10"/>
      <c r="DI70" s="10"/>
      <c r="DJ70" s="10"/>
      <c r="DK70" s="10"/>
      <c r="DL70" s="10"/>
      <c r="DM70" s="10"/>
      <c r="DN70" s="10"/>
      <c r="DO70" s="10"/>
      <c r="DP70" s="10"/>
      <c r="DQ70" s="10"/>
      <c r="DR70" s="10"/>
      <c r="DS70" s="10"/>
      <c r="DT70" s="10"/>
      <c r="DU70" s="10"/>
      <c r="DV70" s="10"/>
      <c r="DW70" s="10"/>
      <c r="DX70" s="10"/>
      <c r="DY70" s="10"/>
      <c r="DZ70" s="10"/>
      <c r="EA70" s="10"/>
      <c r="EB70" s="10"/>
      <c r="EC70" s="10"/>
      <c r="ED70" s="10"/>
      <c r="EE70" s="10"/>
      <c r="EF70" s="10"/>
      <c r="EG70" s="10"/>
      <c r="EH70" s="10"/>
      <c r="EI70" s="10"/>
      <c r="EJ70" s="10"/>
      <c r="EK70" s="10"/>
      <c r="EL70" s="10"/>
      <c r="EM70" s="10"/>
      <c r="EN70" s="10"/>
      <c r="EO70" s="10"/>
      <c r="EP70" s="10"/>
      <c r="EQ70" s="10"/>
      <c r="ER70" s="10"/>
      <c r="ES70" s="10"/>
      <c r="ET70" s="10"/>
      <c r="EU70" s="10"/>
      <c r="EV70" s="10"/>
      <c r="EW70" s="10"/>
      <c r="EX70" s="10"/>
      <c r="EY70" s="10"/>
      <c r="EZ70" s="10"/>
      <c r="FA70" s="10"/>
      <c r="FB70" s="10"/>
      <c r="FC70" s="10"/>
      <c r="FD70" s="10"/>
      <c r="FE70" s="10"/>
    </row>
    <row r="71" spans="2:161" x14ac:dyDescent="0.25"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  <c r="BT71" s="10"/>
      <c r="BU71" s="10"/>
      <c r="BV71" s="10"/>
      <c r="BW71" s="10"/>
      <c r="BX71" s="10"/>
      <c r="BY71" s="10"/>
      <c r="BZ71" s="10"/>
      <c r="CA71" s="10"/>
      <c r="CB71" s="10"/>
      <c r="CC71" s="10"/>
      <c r="CD71" s="10"/>
      <c r="CE71" s="10"/>
      <c r="CF71" s="10"/>
      <c r="CG71" s="10"/>
      <c r="CH71" s="10"/>
      <c r="CI71" s="10"/>
      <c r="CJ71" s="10"/>
      <c r="CK71" s="10"/>
      <c r="CL71" s="10"/>
      <c r="CM71" s="10"/>
      <c r="CN71" s="10"/>
      <c r="CO71" s="10"/>
      <c r="CP71" s="10"/>
      <c r="CQ71" s="10"/>
      <c r="CR71" s="10"/>
      <c r="CS71" s="10"/>
      <c r="CT71" s="10"/>
      <c r="CU71" s="10"/>
      <c r="CV71" s="10"/>
      <c r="CW71" s="10"/>
      <c r="CX71" s="10"/>
      <c r="CY71" s="10"/>
      <c r="CZ71" s="10"/>
      <c r="DA71" s="10"/>
      <c r="DB71" s="10"/>
      <c r="DC71" s="10"/>
      <c r="DD71" s="10"/>
      <c r="DE71" s="10"/>
      <c r="DF71" s="10"/>
      <c r="DG71" s="10"/>
      <c r="DH71" s="10"/>
      <c r="DI71" s="10"/>
      <c r="DJ71" s="10"/>
      <c r="DK71" s="10"/>
      <c r="DL71" s="10"/>
      <c r="DM71" s="10"/>
      <c r="DN71" s="10"/>
      <c r="DO71" s="10"/>
      <c r="DP71" s="10"/>
      <c r="DQ71" s="10"/>
      <c r="DR71" s="10"/>
      <c r="DS71" s="10"/>
      <c r="DT71" s="10"/>
      <c r="DU71" s="10"/>
      <c r="DV71" s="10"/>
      <c r="DW71" s="10"/>
      <c r="DX71" s="10"/>
      <c r="DY71" s="10"/>
      <c r="DZ71" s="10"/>
      <c r="EA71" s="10"/>
      <c r="EB71" s="10"/>
      <c r="EC71" s="10"/>
      <c r="ED71" s="10"/>
      <c r="EE71" s="10"/>
      <c r="EF71" s="10"/>
      <c r="EG71" s="10"/>
      <c r="EH71" s="10"/>
      <c r="EI71" s="10"/>
      <c r="EJ71" s="10"/>
      <c r="EK71" s="10"/>
      <c r="EL71" s="10"/>
      <c r="EM71" s="10"/>
      <c r="EN71" s="10"/>
      <c r="EO71" s="10"/>
      <c r="EP71" s="10"/>
      <c r="EQ71" s="10"/>
      <c r="ER71" s="10"/>
      <c r="ES71" s="10"/>
      <c r="ET71" s="10"/>
      <c r="EU71" s="10"/>
      <c r="EV71" s="10"/>
      <c r="EW71" s="10"/>
      <c r="EX71" s="10"/>
      <c r="EY71" s="10"/>
      <c r="EZ71" s="10"/>
      <c r="FA71" s="10"/>
      <c r="FB71" s="10"/>
      <c r="FC71" s="10"/>
      <c r="FD71" s="10"/>
      <c r="FE71" s="10"/>
    </row>
    <row r="72" spans="2:161" x14ac:dyDescent="0.25"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  <c r="BT72" s="10"/>
      <c r="BU72" s="10"/>
      <c r="BV72" s="10"/>
      <c r="BW72" s="10"/>
      <c r="BX72" s="10"/>
      <c r="BY72" s="10"/>
      <c r="BZ72" s="10"/>
      <c r="CA72" s="10"/>
      <c r="CB72" s="10"/>
      <c r="CC72" s="10"/>
      <c r="CD72" s="10"/>
      <c r="CE72" s="10"/>
      <c r="CF72" s="10"/>
      <c r="CG72" s="10"/>
      <c r="CH72" s="10"/>
      <c r="CI72" s="10"/>
      <c r="CJ72" s="10"/>
      <c r="CK72" s="10"/>
      <c r="CL72" s="10"/>
      <c r="CM72" s="10"/>
      <c r="CN72" s="10"/>
      <c r="CO72" s="10"/>
      <c r="CP72" s="10"/>
      <c r="CQ72" s="10"/>
      <c r="CR72" s="10"/>
      <c r="CS72" s="10"/>
      <c r="CT72" s="10"/>
      <c r="CU72" s="10"/>
      <c r="CV72" s="10"/>
      <c r="CW72" s="10"/>
      <c r="CX72" s="10"/>
      <c r="CY72" s="10"/>
      <c r="CZ72" s="10"/>
      <c r="DA72" s="10"/>
      <c r="DB72" s="10"/>
      <c r="DC72" s="10"/>
      <c r="DD72" s="10"/>
      <c r="DE72" s="10"/>
      <c r="DF72" s="10"/>
      <c r="DG72" s="10"/>
      <c r="DH72" s="10"/>
      <c r="DI72" s="10"/>
      <c r="DJ72" s="10"/>
      <c r="DK72" s="10"/>
      <c r="DL72" s="10"/>
      <c r="DM72" s="10"/>
      <c r="DN72" s="10"/>
      <c r="DO72" s="10"/>
      <c r="DP72" s="10"/>
      <c r="DQ72" s="10"/>
      <c r="DR72" s="10"/>
      <c r="DS72" s="10"/>
      <c r="DT72" s="10"/>
      <c r="DU72" s="10"/>
      <c r="DV72" s="10"/>
      <c r="DW72" s="10"/>
      <c r="DX72" s="10"/>
      <c r="DY72" s="10"/>
      <c r="DZ72" s="10"/>
      <c r="EA72" s="10"/>
      <c r="EB72" s="10"/>
      <c r="EC72" s="10"/>
      <c r="ED72" s="10"/>
      <c r="EE72" s="10"/>
      <c r="EF72" s="10"/>
      <c r="EG72" s="10"/>
      <c r="EH72" s="10"/>
      <c r="EI72" s="10"/>
      <c r="EJ72" s="10"/>
      <c r="EK72" s="10"/>
      <c r="EL72" s="10"/>
      <c r="EM72" s="10"/>
      <c r="EN72" s="10"/>
      <c r="EO72" s="10"/>
      <c r="EP72" s="10"/>
      <c r="EQ72" s="10"/>
      <c r="ER72" s="10"/>
      <c r="ES72" s="10"/>
      <c r="ET72" s="10"/>
      <c r="EU72" s="10"/>
      <c r="EV72" s="10"/>
      <c r="EW72" s="10"/>
      <c r="EX72" s="10"/>
      <c r="EY72" s="10"/>
      <c r="EZ72" s="10"/>
      <c r="FA72" s="10"/>
      <c r="FB72" s="10"/>
      <c r="FC72" s="10"/>
      <c r="FD72" s="10"/>
      <c r="FE72" s="10"/>
    </row>
    <row r="73" spans="2:161" x14ac:dyDescent="0.25"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  <c r="BT73" s="10"/>
      <c r="BU73" s="10"/>
      <c r="BV73" s="10"/>
      <c r="BW73" s="10"/>
      <c r="BX73" s="10"/>
      <c r="BY73" s="10"/>
      <c r="BZ73" s="10"/>
      <c r="CA73" s="10"/>
      <c r="CB73" s="10"/>
      <c r="CC73" s="10"/>
      <c r="CD73" s="10"/>
      <c r="CE73" s="10"/>
      <c r="CF73" s="10"/>
      <c r="CG73" s="10"/>
      <c r="CH73" s="10"/>
      <c r="CI73" s="10"/>
      <c r="CJ73" s="10"/>
      <c r="CK73" s="10"/>
      <c r="CL73" s="10"/>
      <c r="CM73" s="10"/>
      <c r="CN73" s="10"/>
      <c r="CO73" s="10"/>
      <c r="CP73" s="10"/>
      <c r="CQ73" s="10"/>
      <c r="CR73" s="10"/>
      <c r="CS73" s="10"/>
      <c r="CT73" s="10"/>
      <c r="CU73" s="10"/>
      <c r="CV73" s="10"/>
      <c r="CW73" s="10"/>
      <c r="CX73" s="10"/>
      <c r="CY73" s="10"/>
      <c r="CZ73" s="10"/>
      <c r="DA73" s="10"/>
      <c r="DB73" s="10"/>
      <c r="DC73" s="10"/>
      <c r="DD73" s="10"/>
      <c r="DE73" s="10"/>
      <c r="DF73" s="10"/>
      <c r="DG73" s="10"/>
      <c r="DH73" s="10"/>
      <c r="DI73" s="10"/>
      <c r="DJ73" s="10"/>
      <c r="DK73" s="10"/>
      <c r="DL73" s="10"/>
      <c r="DM73" s="10"/>
      <c r="DN73" s="10"/>
      <c r="DO73" s="10"/>
      <c r="DP73" s="10"/>
      <c r="DQ73" s="10"/>
      <c r="DR73" s="10"/>
      <c r="DS73" s="10"/>
      <c r="DT73" s="10"/>
      <c r="DU73" s="10"/>
      <c r="DV73" s="10"/>
      <c r="DW73" s="10"/>
      <c r="DX73" s="10"/>
      <c r="DY73" s="10"/>
      <c r="DZ73" s="10"/>
      <c r="EA73" s="10"/>
      <c r="EB73" s="10"/>
      <c r="EC73" s="10"/>
      <c r="ED73" s="10"/>
      <c r="EE73" s="10"/>
      <c r="EF73" s="10"/>
      <c r="EG73" s="10"/>
      <c r="EH73" s="10"/>
      <c r="EI73" s="10"/>
      <c r="EJ73" s="10"/>
      <c r="EK73" s="10"/>
      <c r="EL73" s="10"/>
      <c r="EM73" s="10"/>
      <c r="EN73" s="10"/>
      <c r="EO73" s="10"/>
      <c r="EP73" s="10"/>
      <c r="EQ73" s="10"/>
      <c r="ER73" s="10"/>
      <c r="ES73" s="10"/>
      <c r="ET73" s="10"/>
      <c r="EU73" s="10"/>
      <c r="EV73" s="10"/>
      <c r="EW73" s="10"/>
      <c r="EX73" s="10"/>
      <c r="EY73" s="10"/>
      <c r="EZ73" s="10"/>
      <c r="FA73" s="10"/>
      <c r="FB73" s="10"/>
      <c r="FC73" s="10"/>
      <c r="FD73" s="10"/>
      <c r="FE73" s="10"/>
    </row>
    <row r="74" spans="2:161" x14ac:dyDescent="0.25"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  <c r="BT74" s="10"/>
      <c r="BU74" s="10"/>
      <c r="BV74" s="10"/>
      <c r="BW74" s="10"/>
      <c r="BX74" s="10"/>
      <c r="BY74" s="10"/>
      <c r="BZ74" s="10"/>
      <c r="CA74" s="10"/>
      <c r="CB74" s="10"/>
      <c r="CC74" s="10"/>
      <c r="CD74" s="10"/>
      <c r="CE74" s="10"/>
      <c r="CF74" s="10"/>
      <c r="CG74" s="10"/>
      <c r="CH74" s="10"/>
      <c r="CI74" s="10"/>
      <c r="CJ74" s="10"/>
      <c r="CK74" s="10"/>
      <c r="CL74" s="10"/>
      <c r="CM74" s="10"/>
      <c r="CN74" s="10"/>
      <c r="CO74" s="10"/>
      <c r="CP74" s="10"/>
      <c r="CQ74" s="10"/>
      <c r="CR74" s="10"/>
      <c r="CS74" s="10"/>
      <c r="CT74" s="10"/>
      <c r="CU74" s="10"/>
      <c r="CV74" s="10"/>
      <c r="CW74" s="10"/>
      <c r="CX74" s="10"/>
      <c r="CY74" s="10"/>
      <c r="CZ74" s="10"/>
      <c r="DA74" s="10"/>
      <c r="DB74" s="10"/>
      <c r="DC74" s="10"/>
      <c r="DD74" s="10"/>
      <c r="DE74" s="10"/>
      <c r="DF74" s="10"/>
      <c r="DG74" s="10"/>
      <c r="DH74" s="10"/>
      <c r="DI74" s="10"/>
      <c r="DJ74" s="10"/>
      <c r="DK74" s="10"/>
      <c r="DL74" s="10"/>
      <c r="DM74" s="10"/>
      <c r="DN74" s="10"/>
      <c r="DO74" s="10"/>
      <c r="DP74" s="10"/>
      <c r="DQ74" s="10"/>
      <c r="DR74" s="10"/>
      <c r="DS74" s="10"/>
      <c r="DT74" s="10"/>
      <c r="DU74" s="10"/>
      <c r="DV74" s="10"/>
      <c r="DW74" s="10"/>
      <c r="DX74" s="10"/>
      <c r="DY74" s="10"/>
      <c r="DZ74" s="10"/>
      <c r="EA74" s="10"/>
      <c r="EB74" s="10"/>
      <c r="EC74" s="10"/>
      <c r="ED74" s="10"/>
      <c r="EE74" s="10"/>
      <c r="EF74" s="10"/>
      <c r="EG74" s="10"/>
      <c r="EH74" s="10"/>
      <c r="EI74" s="10"/>
      <c r="EJ74" s="10"/>
      <c r="EK74" s="10"/>
      <c r="EL74" s="10"/>
      <c r="EM74" s="10"/>
      <c r="EN74" s="10"/>
      <c r="EO74" s="10"/>
      <c r="EP74" s="10"/>
      <c r="EQ74" s="10"/>
      <c r="ER74" s="10"/>
      <c r="ES74" s="10"/>
      <c r="ET74" s="10"/>
      <c r="EU74" s="10"/>
      <c r="EV74" s="10"/>
      <c r="EW74" s="10"/>
      <c r="EX74" s="10"/>
      <c r="EY74" s="10"/>
      <c r="EZ74" s="10"/>
      <c r="FA74" s="10"/>
      <c r="FB74" s="10"/>
      <c r="FC74" s="10"/>
      <c r="FD74" s="10"/>
      <c r="FE74" s="10"/>
    </row>
    <row r="75" spans="2:161" x14ac:dyDescent="0.25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  <c r="BT75" s="10"/>
      <c r="BU75" s="10"/>
      <c r="BV75" s="10"/>
      <c r="BW75" s="10"/>
      <c r="BX75" s="10"/>
      <c r="BY75" s="10"/>
      <c r="BZ75" s="10"/>
      <c r="CA75" s="10"/>
      <c r="CB75" s="10"/>
      <c r="CC75" s="10"/>
      <c r="CD75" s="10"/>
      <c r="CE75" s="10"/>
      <c r="CF75" s="10"/>
      <c r="CG75" s="10"/>
      <c r="CH75" s="10"/>
      <c r="CI75" s="10"/>
      <c r="CJ75" s="10"/>
      <c r="CK75" s="10"/>
      <c r="CL75" s="10"/>
      <c r="CM75" s="10"/>
      <c r="CN75" s="10"/>
      <c r="CO75" s="10"/>
      <c r="CP75" s="10"/>
      <c r="CQ75" s="10"/>
      <c r="CR75" s="10"/>
      <c r="CS75" s="10"/>
      <c r="CT75" s="10"/>
      <c r="CU75" s="10"/>
      <c r="CV75" s="10"/>
      <c r="CW75" s="10"/>
      <c r="CX75" s="10"/>
      <c r="CY75" s="10"/>
      <c r="CZ75" s="10"/>
      <c r="DA75" s="10"/>
      <c r="DB75" s="10"/>
      <c r="DC75" s="10"/>
      <c r="DD75" s="10"/>
      <c r="DE75" s="10"/>
      <c r="DF75" s="10"/>
      <c r="DG75" s="10"/>
      <c r="DH75" s="10"/>
      <c r="DI75" s="10"/>
      <c r="DJ75" s="10"/>
      <c r="DK75" s="10"/>
      <c r="DL75" s="10"/>
      <c r="DM75" s="10"/>
      <c r="DN75" s="10"/>
      <c r="DO75" s="10"/>
      <c r="DP75" s="10"/>
      <c r="DQ75" s="10"/>
      <c r="DR75" s="10"/>
      <c r="DS75" s="10"/>
      <c r="DT75" s="10"/>
      <c r="DU75" s="10"/>
      <c r="DV75" s="10"/>
      <c r="DW75" s="10"/>
      <c r="DX75" s="10"/>
      <c r="DY75" s="10"/>
      <c r="DZ75" s="10"/>
      <c r="EA75" s="10"/>
      <c r="EB75" s="10"/>
      <c r="EC75" s="10"/>
      <c r="ED75" s="10"/>
      <c r="EE75" s="10"/>
      <c r="EF75" s="10"/>
      <c r="EG75" s="10"/>
      <c r="EH75" s="10"/>
      <c r="EI75" s="10"/>
      <c r="EJ75" s="10"/>
      <c r="EK75" s="10"/>
      <c r="EL75" s="10"/>
      <c r="EM75" s="10"/>
      <c r="EN75" s="10"/>
      <c r="EO75" s="10"/>
      <c r="EP75" s="10"/>
      <c r="EQ75" s="10"/>
      <c r="ER75" s="10"/>
      <c r="ES75" s="10"/>
      <c r="ET75" s="10"/>
      <c r="EU75" s="10"/>
      <c r="EV75" s="10"/>
      <c r="EW75" s="10"/>
      <c r="EX75" s="10"/>
      <c r="EY75" s="10"/>
      <c r="EZ75" s="10"/>
      <c r="FA75" s="10"/>
      <c r="FB75" s="10"/>
      <c r="FC75" s="10"/>
      <c r="FD75" s="10"/>
      <c r="FE75" s="10"/>
    </row>
    <row r="76" spans="2:161" x14ac:dyDescent="0.25"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  <c r="BT76" s="10"/>
      <c r="BU76" s="10"/>
      <c r="BV76" s="10"/>
      <c r="BW76" s="10"/>
      <c r="BX76" s="10"/>
      <c r="BY76" s="10"/>
      <c r="BZ76" s="10"/>
      <c r="CA76" s="10"/>
      <c r="CB76" s="10"/>
      <c r="CC76" s="10"/>
      <c r="CD76" s="10"/>
      <c r="CE76" s="10"/>
      <c r="CF76" s="10"/>
      <c r="CG76" s="10"/>
      <c r="CH76" s="10"/>
      <c r="CI76" s="10"/>
      <c r="CJ76" s="10"/>
      <c r="CK76" s="10"/>
      <c r="CL76" s="10"/>
      <c r="CM76" s="10"/>
      <c r="CN76" s="10"/>
      <c r="CO76" s="10"/>
      <c r="CP76" s="10"/>
      <c r="CQ76" s="10"/>
      <c r="CR76" s="10"/>
      <c r="CS76" s="10"/>
      <c r="CT76" s="10"/>
      <c r="CU76" s="10"/>
      <c r="CV76" s="10"/>
      <c r="CW76" s="10"/>
      <c r="CX76" s="10"/>
      <c r="CY76" s="10"/>
      <c r="CZ76" s="10"/>
      <c r="DA76" s="10"/>
      <c r="DB76" s="10"/>
      <c r="DC76" s="10"/>
      <c r="DD76" s="10"/>
      <c r="DE76" s="10"/>
      <c r="DF76" s="10"/>
      <c r="DG76" s="10"/>
      <c r="DH76" s="10"/>
      <c r="DI76" s="10"/>
      <c r="DJ76" s="10"/>
      <c r="DK76" s="10"/>
      <c r="DL76" s="10"/>
      <c r="DM76" s="10"/>
      <c r="DN76" s="10"/>
      <c r="DO76" s="10"/>
      <c r="DP76" s="10"/>
      <c r="DQ76" s="10"/>
      <c r="DR76" s="10"/>
      <c r="DS76" s="10"/>
      <c r="DT76" s="10"/>
      <c r="DU76" s="10"/>
      <c r="DV76" s="10"/>
      <c r="DW76" s="10"/>
      <c r="DX76" s="10"/>
      <c r="DY76" s="10"/>
      <c r="DZ76" s="10"/>
      <c r="EA76" s="10"/>
      <c r="EB76" s="10"/>
      <c r="EC76" s="10"/>
      <c r="ED76" s="10"/>
      <c r="EE76" s="10"/>
      <c r="EF76" s="10"/>
      <c r="EG76" s="10"/>
      <c r="EH76" s="10"/>
      <c r="EI76" s="10"/>
      <c r="EJ76" s="10"/>
      <c r="EK76" s="10"/>
      <c r="EL76" s="10"/>
      <c r="EM76" s="10"/>
      <c r="EN76" s="10"/>
      <c r="EO76" s="10"/>
      <c r="EP76" s="10"/>
      <c r="EQ76" s="10"/>
      <c r="ER76" s="10"/>
      <c r="ES76" s="10"/>
      <c r="ET76" s="10"/>
      <c r="EU76" s="10"/>
      <c r="EV76" s="10"/>
      <c r="EW76" s="10"/>
      <c r="EX76" s="10"/>
      <c r="EY76" s="10"/>
      <c r="EZ76" s="10"/>
      <c r="FA76" s="10"/>
      <c r="FB76" s="10"/>
      <c r="FC76" s="10"/>
      <c r="FD76" s="10"/>
      <c r="FE76" s="10"/>
    </row>
    <row r="77" spans="2:161" x14ac:dyDescent="0.25"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  <c r="BT77" s="10"/>
      <c r="BU77" s="10"/>
      <c r="BV77" s="10"/>
      <c r="BW77" s="10"/>
      <c r="BX77" s="10"/>
      <c r="BY77" s="10"/>
      <c r="BZ77" s="10"/>
      <c r="CA77" s="10"/>
      <c r="CB77" s="10"/>
      <c r="CC77" s="10"/>
      <c r="CD77" s="10"/>
      <c r="CE77" s="10"/>
      <c r="CF77" s="10"/>
      <c r="CG77" s="10"/>
      <c r="CH77" s="10"/>
      <c r="CI77" s="10"/>
      <c r="CJ77" s="10"/>
      <c r="CK77" s="10"/>
      <c r="CL77" s="10"/>
      <c r="CM77" s="10"/>
      <c r="CN77" s="10"/>
      <c r="CO77" s="10"/>
      <c r="CP77" s="10"/>
      <c r="CQ77" s="10"/>
      <c r="CR77" s="10"/>
      <c r="CS77" s="10"/>
      <c r="CT77" s="10"/>
      <c r="CU77" s="10"/>
      <c r="CV77" s="10"/>
      <c r="CW77" s="10"/>
      <c r="CX77" s="10"/>
      <c r="CY77" s="10"/>
      <c r="CZ77" s="10"/>
      <c r="DA77" s="10"/>
      <c r="DB77" s="10"/>
      <c r="DC77" s="10"/>
      <c r="DD77" s="10"/>
      <c r="DE77" s="10"/>
      <c r="DF77" s="10"/>
      <c r="DG77" s="10"/>
      <c r="DH77" s="10"/>
      <c r="DI77" s="10"/>
      <c r="DJ77" s="10"/>
      <c r="DK77" s="10"/>
      <c r="DL77" s="10"/>
      <c r="DM77" s="10"/>
      <c r="DN77" s="10"/>
      <c r="DO77" s="10"/>
      <c r="DP77" s="10"/>
      <c r="DQ77" s="10"/>
      <c r="DR77" s="10"/>
      <c r="DS77" s="10"/>
      <c r="DT77" s="10"/>
      <c r="DU77" s="10"/>
      <c r="DV77" s="10"/>
      <c r="DW77" s="10"/>
      <c r="DX77" s="10"/>
      <c r="DY77" s="10"/>
      <c r="DZ77" s="10"/>
      <c r="EA77" s="10"/>
      <c r="EB77" s="10"/>
      <c r="EC77" s="10"/>
      <c r="ED77" s="10"/>
      <c r="EE77" s="10"/>
      <c r="EF77" s="10"/>
      <c r="EG77" s="10"/>
      <c r="EH77" s="10"/>
      <c r="EI77" s="10"/>
      <c r="EJ77" s="10"/>
      <c r="EK77" s="10"/>
      <c r="EL77" s="10"/>
      <c r="EM77" s="10"/>
      <c r="EN77" s="10"/>
      <c r="EO77" s="10"/>
      <c r="EP77" s="10"/>
      <c r="EQ77" s="10"/>
      <c r="ER77" s="10"/>
      <c r="ES77" s="10"/>
      <c r="ET77" s="10"/>
      <c r="EU77" s="10"/>
      <c r="EV77" s="10"/>
      <c r="EW77" s="10"/>
      <c r="EX77" s="10"/>
      <c r="EY77" s="10"/>
      <c r="EZ77" s="10"/>
      <c r="FA77" s="10"/>
      <c r="FB77" s="10"/>
      <c r="FC77" s="10"/>
      <c r="FD77" s="10"/>
      <c r="FE77" s="10"/>
    </row>
    <row r="78" spans="2:161" x14ac:dyDescent="0.25"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  <c r="BT78" s="10"/>
      <c r="BU78" s="10"/>
      <c r="BV78" s="10"/>
      <c r="BW78" s="10"/>
      <c r="BX78" s="10"/>
      <c r="BY78" s="10"/>
      <c r="BZ78" s="10"/>
      <c r="CA78" s="10"/>
      <c r="CB78" s="10"/>
      <c r="CC78" s="10"/>
      <c r="CD78" s="10"/>
      <c r="CE78" s="10"/>
      <c r="CF78" s="10"/>
      <c r="CG78" s="10"/>
      <c r="CH78" s="10"/>
      <c r="CI78" s="10"/>
      <c r="CJ78" s="10"/>
      <c r="CK78" s="10"/>
      <c r="CL78" s="10"/>
      <c r="CM78" s="10"/>
      <c r="CN78" s="10"/>
      <c r="CO78" s="10"/>
      <c r="CP78" s="10"/>
      <c r="CQ78" s="10"/>
      <c r="CR78" s="10"/>
      <c r="CS78" s="10"/>
      <c r="CT78" s="10"/>
      <c r="CU78" s="10"/>
      <c r="CV78" s="10"/>
      <c r="CW78" s="10"/>
      <c r="CX78" s="10"/>
      <c r="CY78" s="10"/>
      <c r="CZ78" s="10"/>
      <c r="DA78" s="10"/>
      <c r="DB78" s="10"/>
      <c r="DC78" s="10"/>
      <c r="DD78" s="10"/>
      <c r="DE78" s="10"/>
      <c r="DF78" s="10"/>
      <c r="DG78" s="10"/>
      <c r="DH78" s="10"/>
      <c r="DI78" s="10"/>
      <c r="DJ78" s="10"/>
      <c r="DK78" s="10"/>
      <c r="DL78" s="10"/>
      <c r="DM78" s="10"/>
      <c r="DN78" s="10"/>
      <c r="DO78" s="10"/>
      <c r="DP78" s="10"/>
      <c r="DQ78" s="10"/>
      <c r="DR78" s="10"/>
      <c r="DS78" s="10"/>
      <c r="DT78" s="10"/>
      <c r="DU78" s="10"/>
      <c r="DV78" s="10"/>
      <c r="DW78" s="10"/>
      <c r="DX78" s="10"/>
      <c r="DY78" s="10"/>
      <c r="DZ78" s="10"/>
      <c r="EA78" s="10"/>
      <c r="EB78" s="10"/>
      <c r="EC78" s="10"/>
      <c r="ED78" s="10"/>
      <c r="EE78" s="10"/>
      <c r="EF78" s="10"/>
      <c r="EG78" s="10"/>
      <c r="EH78" s="10"/>
      <c r="EI78" s="10"/>
      <c r="EJ78" s="10"/>
      <c r="EK78" s="10"/>
      <c r="EL78" s="10"/>
      <c r="EM78" s="10"/>
      <c r="EN78" s="10"/>
      <c r="EO78" s="10"/>
      <c r="EP78" s="10"/>
      <c r="EQ78" s="10"/>
      <c r="ER78" s="10"/>
      <c r="ES78" s="10"/>
      <c r="ET78" s="10"/>
      <c r="EU78" s="10"/>
      <c r="EV78" s="10"/>
      <c r="EW78" s="10"/>
      <c r="EX78" s="10"/>
      <c r="EY78" s="10"/>
      <c r="EZ78" s="10"/>
      <c r="FA78" s="10"/>
      <c r="FB78" s="10"/>
      <c r="FC78" s="10"/>
      <c r="FD78" s="10"/>
      <c r="FE78" s="10"/>
    </row>
    <row r="79" spans="2:161" x14ac:dyDescent="0.25"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  <c r="BT79" s="10"/>
      <c r="BU79" s="10"/>
      <c r="BV79" s="10"/>
      <c r="BW79" s="10"/>
      <c r="BX79" s="10"/>
      <c r="BY79" s="10"/>
      <c r="BZ79" s="10"/>
      <c r="CA79" s="10"/>
      <c r="CB79" s="10"/>
      <c r="CC79" s="10"/>
      <c r="CD79" s="10"/>
      <c r="CE79" s="10"/>
      <c r="CF79" s="10"/>
      <c r="CG79" s="10"/>
      <c r="CH79" s="10"/>
      <c r="CI79" s="10"/>
      <c r="CJ79" s="10"/>
      <c r="CK79" s="10"/>
      <c r="CL79" s="10"/>
      <c r="CM79" s="10"/>
      <c r="CN79" s="10"/>
      <c r="CO79" s="10"/>
      <c r="CP79" s="10"/>
      <c r="CQ79" s="10"/>
      <c r="CR79" s="10"/>
      <c r="CS79" s="10"/>
      <c r="CT79" s="10"/>
      <c r="CU79" s="10"/>
      <c r="CV79" s="10"/>
      <c r="CW79" s="10"/>
      <c r="CX79" s="10"/>
      <c r="CY79" s="10"/>
      <c r="CZ79" s="10"/>
      <c r="DA79" s="10"/>
      <c r="DB79" s="10"/>
      <c r="DC79" s="10"/>
      <c r="DD79" s="10"/>
      <c r="DE79" s="10"/>
      <c r="DF79" s="10"/>
      <c r="DG79" s="10"/>
      <c r="DH79" s="10"/>
      <c r="DI79" s="10"/>
      <c r="DJ79" s="10"/>
      <c r="DK79" s="10"/>
      <c r="DL79" s="10"/>
      <c r="DM79" s="10"/>
      <c r="DN79" s="10"/>
      <c r="DO79" s="10"/>
      <c r="DP79" s="10"/>
      <c r="DQ79" s="10"/>
      <c r="DR79" s="10"/>
      <c r="DS79" s="10"/>
      <c r="DT79" s="10"/>
      <c r="DU79" s="10"/>
      <c r="DV79" s="10"/>
      <c r="DW79" s="10"/>
      <c r="DX79" s="10"/>
      <c r="DY79" s="10"/>
      <c r="DZ79" s="10"/>
      <c r="EA79" s="10"/>
      <c r="EB79" s="10"/>
      <c r="EC79" s="10"/>
      <c r="ED79" s="10"/>
      <c r="EE79" s="10"/>
      <c r="EF79" s="10"/>
      <c r="EG79" s="10"/>
      <c r="EH79" s="10"/>
      <c r="EI79" s="10"/>
      <c r="EJ79" s="10"/>
      <c r="EK79" s="10"/>
      <c r="EL79" s="10"/>
      <c r="EM79" s="10"/>
      <c r="EN79" s="10"/>
      <c r="EO79" s="10"/>
      <c r="EP79" s="10"/>
      <c r="EQ79" s="10"/>
      <c r="ER79" s="10"/>
      <c r="ES79" s="10"/>
      <c r="ET79" s="10"/>
      <c r="EU79" s="10"/>
      <c r="EV79" s="10"/>
      <c r="EW79" s="10"/>
      <c r="EX79" s="10"/>
      <c r="EY79" s="10"/>
      <c r="EZ79" s="10"/>
      <c r="FA79" s="10"/>
      <c r="FB79" s="10"/>
      <c r="FC79" s="10"/>
      <c r="FD79" s="10"/>
      <c r="FE79" s="10"/>
    </row>
    <row r="80" spans="2:161" x14ac:dyDescent="0.25"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  <c r="BT80" s="10"/>
      <c r="BU80" s="10"/>
      <c r="BV80" s="10"/>
      <c r="BW80" s="10"/>
      <c r="BX80" s="10"/>
      <c r="BY80" s="10"/>
      <c r="BZ80" s="10"/>
      <c r="CA80" s="10"/>
      <c r="CB80" s="10"/>
      <c r="CC80" s="10"/>
      <c r="CD80" s="10"/>
      <c r="CE80" s="10"/>
      <c r="CF80" s="10"/>
      <c r="CG80" s="10"/>
      <c r="CH80" s="10"/>
      <c r="CI80" s="10"/>
      <c r="CJ80" s="10"/>
      <c r="CK80" s="10"/>
      <c r="CL80" s="10"/>
      <c r="CM80" s="10"/>
      <c r="CN80" s="10"/>
      <c r="CO80" s="10"/>
      <c r="CP80" s="10"/>
      <c r="CQ80" s="10"/>
      <c r="CR80" s="10"/>
      <c r="CS80" s="10"/>
      <c r="CT80" s="10"/>
      <c r="CU80" s="10"/>
      <c r="CV80" s="10"/>
      <c r="CW80" s="10"/>
      <c r="CX80" s="10"/>
      <c r="CY80" s="10"/>
      <c r="CZ80" s="10"/>
      <c r="DA80" s="10"/>
      <c r="DB80" s="10"/>
      <c r="DC80" s="10"/>
      <c r="DD80" s="10"/>
      <c r="DE80" s="10"/>
      <c r="DF80" s="10"/>
      <c r="DG80" s="10"/>
      <c r="DH80" s="10"/>
      <c r="DI80" s="10"/>
      <c r="DJ80" s="10"/>
      <c r="DK80" s="10"/>
      <c r="DL80" s="10"/>
      <c r="DM80" s="10"/>
      <c r="DN80" s="10"/>
      <c r="DO80" s="10"/>
      <c r="DP80" s="10"/>
      <c r="DQ80" s="10"/>
      <c r="DR80" s="10"/>
      <c r="DS80" s="10"/>
      <c r="DT80" s="10"/>
      <c r="DU80" s="10"/>
      <c r="DV80" s="10"/>
      <c r="DW80" s="10"/>
      <c r="DX80" s="10"/>
      <c r="DY80" s="10"/>
      <c r="DZ80" s="10"/>
      <c r="EA80" s="10"/>
      <c r="EB80" s="10"/>
      <c r="EC80" s="10"/>
      <c r="ED80" s="10"/>
      <c r="EE80" s="10"/>
      <c r="EF80" s="10"/>
      <c r="EG80" s="10"/>
      <c r="EH80" s="10"/>
      <c r="EI80" s="10"/>
      <c r="EJ80" s="10"/>
      <c r="EK80" s="10"/>
      <c r="EL80" s="10"/>
      <c r="EM80" s="10"/>
      <c r="EN80" s="10"/>
      <c r="EO80" s="10"/>
      <c r="EP80" s="10"/>
      <c r="EQ80" s="10"/>
      <c r="ER80" s="10"/>
      <c r="ES80" s="10"/>
      <c r="ET80" s="10"/>
      <c r="EU80" s="10"/>
      <c r="EV80" s="10"/>
      <c r="EW80" s="10"/>
      <c r="EX80" s="10"/>
      <c r="EY80" s="10"/>
      <c r="EZ80" s="10"/>
      <c r="FA80" s="10"/>
      <c r="FB80" s="10"/>
      <c r="FC80" s="10"/>
      <c r="FD80" s="10"/>
      <c r="FE80" s="10"/>
    </row>
    <row r="81" spans="2:161" x14ac:dyDescent="0.25"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  <c r="BT81" s="10"/>
      <c r="BU81" s="10"/>
      <c r="BV81" s="10"/>
      <c r="BW81" s="10"/>
      <c r="BX81" s="10"/>
      <c r="BY81" s="10"/>
      <c r="BZ81" s="10"/>
      <c r="CA81" s="10"/>
      <c r="CB81" s="10"/>
      <c r="CC81" s="10"/>
      <c r="CD81" s="10"/>
      <c r="CE81" s="10"/>
      <c r="CF81" s="10"/>
      <c r="CG81" s="10"/>
      <c r="CH81" s="10"/>
      <c r="CI81" s="10"/>
      <c r="CJ81" s="10"/>
      <c r="CK81" s="10"/>
      <c r="CL81" s="10"/>
      <c r="CM81" s="10"/>
      <c r="CN81" s="10"/>
      <c r="CO81" s="10"/>
      <c r="CP81" s="10"/>
      <c r="CQ81" s="10"/>
      <c r="CR81" s="10"/>
      <c r="CS81" s="10"/>
      <c r="CT81" s="10"/>
      <c r="CU81" s="10"/>
      <c r="CV81" s="10"/>
      <c r="CW81" s="10"/>
      <c r="CX81" s="10"/>
      <c r="CY81" s="10"/>
      <c r="CZ81" s="10"/>
      <c r="DA81" s="10"/>
      <c r="DB81" s="10"/>
      <c r="DC81" s="10"/>
      <c r="DD81" s="10"/>
      <c r="DE81" s="10"/>
      <c r="DF81" s="10"/>
      <c r="DG81" s="10"/>
      <c r="DH81" s="10"/>
      <c r="DI81" s="10"/>
      <c r="DJ81" s="10"/>
      <c r="DK81" s="10"/>
      <c r="DL81" s="10"/>
      <c r="DM81" s="10"/>
      <c r="DN81" s="10"/>
      <c r="DO81" s="10"/>
      <c r="DP81" s="10"/>
      <c r="DQ81" s="10"/>
      <c r="DR81" s="10"/>
      <c r="DS81" s="10"/>
      <c r="DT81" s="10"/>
      <c r="DU81" s="10"/>
      <c r="DV81" s="10"/>
      <c r="DW81" s="10"/>
      <c r="DX81" s="10"/>
      <c r="DY81" s="10"/>
      <c r="DZ81" s="10"/>
      <c r="EA81" s="10"/>
      <c r="EB81" s="10"/>
      <c r="EC81" s="10"/>
      <c r="ED81" s="10"/>
      <c r="EE81" s="10"/>
      <c r="EF81" s="10"/>
      <c r="EG81" s="10"/>
      <c r="EH81" s="10"/>
      <c r="EI81" s="10"/>
      <c r="EJ81" s="10"/>
      <c r="EK81" s="10"/>
      <c r="EL81" s="10"/>
      <c r="EM81" s="10"/>
      <c r="EN81" s="10"/>
      <c r="EO81" s="10"/>
      <c r="EP81" s="10"/>
      <c r="EQ81" s="10"/>
      <c r="ER81" s="10"/>
      <c r="ES81" s="10"/>
      <c r="ET81" s="10"/>
      <c r="EU81" s="10"/>
      <c r="EV81" s="10"/>
      <c r="EW81" s="10"/>
      <c r="EX81" s="10"/>
      <c r="EY81" s="10"/>
      <c r="EZ81" s="10"/>
      <c r="FA81" s="10"/>
      <c r="FB81" s="10"/>
      <c r="FC81" s="10"/>
      <c r="FD81" s="10"/>
      <c r="FE81" s="10"/>
    </row>
    <row r="82" spans="2:161" x14ac:dyDescent="0.25"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  <c r="BT82" s="10"/>
      <c r="BU82" s="10"/>
      <c r="BV82" s="10"/>
      <c r="BW82" s="10"/>
      <c r="BX82" s="10"/>
      <c r="BY82" s="10"/>
      <c r="BZ82" s="10"/>
      <c r="CA82" s="10"/>
      <c r="CB82" s="10"/>
      <c r="CC82" s="10"/>
      <c r="CD82" s="10"/>
      <c r="CE82" s="10"/>
      <c r="CF82" s="10"/>
      <c r="CG82" s="10"/>
      <c r="CH82" s="10"/>
      <c r="CI82" s="10"/>
      <c r="CJ82" s="10"/>
      <c r="CK82" s="10"/>
      <c r="CL82" s="10"/>
      <c r="CM82" s="10"/>
      <c r="CN82" s="10"/>
      <c r="CO82" s="10"/>
      <c r="CP82" s="10"/>
      <c r="CQ82" s="10"/>
      <c r="CR82" s="10"/>
      <c r="CS82" s="10"/>
      <c r="CT82" s="10"/>
      <c r="CU82" s="10"/>
      <c r="CV82" s="10"/>
      <c r="CW82" s="10"/>
      <c r="CX82" s="10"/>
      <c r="CY82" s="10"/>
      <c r="CZ82" s="10"/>
      <c r="DA82" s="10"/>
      <c r="DB82" s="10"/>
      <c r="DC82" s="10"/>
      <c r="DD82" s="10"/>
      <c r="DE82" s="10"/>
      <c r="DF82" s="10"/>
      <c r="DG82" s="10"/>
      <c r="DH82" s="10"/>
      <c r="DI82" s="10"/>
      <c r="DJ82" s="10"/>
      <c r="DK82" s="10"/>
      <c r="DL82" s="10"/>
      <c r="DM82" s="10"/>
      <c r="DN82" s="10"/>
      <c r="DO82" s="10"/>
      <c r="DP82" s="10"/>
      <c r="DQ82" s="10"/>
      <c r="DR82" s="10"/>
      <c r="DS82" s="10"/>
      <c r="DT82" s="10"/>
      <c r="DU82" s="10"/>
      <c r="DV82" s="10"/>
      <c r="DW82" s="10"/>
      <c r="DX82" s="10"/>
      <c r="DY82" s="10"/>
      <c r="DZ82" s="10"/>
      <c r="EA82" s="10"/>
      <c r="EB82" s="10"/>
      <c r="EC82" s="10"/>
      <c r="ED82" s="10"/>
      <c r="EE82" s="10"/>
      <c r="EF82" s="10"/>
      <c r="EG82" s="10"/>
      <c r="EH82" s="10"/>
      <c r="EI82" s="10"/>
      <c r="EJ82" s="10"/>
      <c r="EK82" s="10"/>
      <c r="EL82" s="10"/>
      <c r="EM82" s="10"/>
      <c r="EN82" s="10"/>
      <c r="EO82" s="10"/>
      <c r="EP82" s="10"/>
      <c r="EQ82" s="10"/>
      <c r="ER82" s="10"/>
      <c r="ES82" s="10"/>
      <c r="ET82" s="10"/>
      <c r="EU82" s="10"/>
      <c r="EV82" s="10"/>
      <c r="EW82" s="10"/>
      <c r="EX82" s="10"/>
      <c r="EY82" s="10"/>
      <c r="EZ82" s="10"/>
      <c r="FA82" s="10"/>
      <c r="FB82" s="10"/>
      <c r="FC82" s="10"/>
      <c r="FD82" s="10"/>
      <c r="FE82" s="10"/>
    </row>
    <row r="83" spans="2:161" x14ac:dyDescent="0.25"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  <c r="BT83" s="10"/>
      <c r="BU83" s="10"/>
      <c r="BV83" s="10"/>
      <c r="BW83" s="10"/>
      <c r="BX83" s="10"/>
      <c r="BY83" s="10"/>
      <c r="BZ83" s="10"/>
      <c r="CA83" s="10"/>
      <c r="CB83" s="10"/>
      <c r="CC83" s="10"/>
      <c r="CD83" s="10"/>
      <c r="CE83" s="10"/>
      <c r="CF83" s="10"/>
      <c r="CG83" s="10"/>
      <c r="CH83" s="10"/>
      <c r="CI83" s="10"/>
      <c r="CJ83" s="10"/>
      <c r="CK83" s="10"/>
      <c r="CL83" s="10"/>
      <c r="CM83" s="10"/>
      <c r="CN83" s="10"/>
      <c r="CO83" s="10"/>
      <c r="CP83" s="10"/>
      <c r="CQ83" s="10"/>
      <c r="CR83" s="10"/>
      <c r="CS83" s="10"/>
      <c r="CT83" s="10"/>
      <c r="CU83" s="10"/>
      <c r="CV83" s="10"/>
      <c r="CW83" s="10"/>
      <c r="CX83" s="10"/>
      <c r="CY83" s="10"/>
      <c r="CZ83" s="10"/>
      <c r="DA83" s="10"/>
      <c r="DB83" s="10"/>
      <c r="DC83" s="10"/>
      <c r="DD83" s="10"/>
      <c r="DE83" s="10"/>
      <c r="DF83" s="10"/>
      <c r="DG83" s="10"/>
      <c r="DH83" s="10"/>
      <c r="DI83" s="10"/>
      <c r="DJ83" s="10"/>
      <c r="DK83" s="10"/>
      <c r="DL83" s="10"/>
      <c r="DM83" s="10"/>
      <c r="DN83" s="10"/>
      <c r="DO83" s="10"/>
      <c r="DP83" s="10"/>
      <c r="DQ83" s="10"/>
      <c r="DR83" s="10"/>
      <c r="DS83" s="10"/>
      <c r="DT83" s="10"/>
      <c r="DU83" s="10"/>
      <c r="DV83" s="10"/>
      <c r="DW83" s="10"/>
      <c r="DX83" s="10"/>
      <c r="DY83" s="10"/>
      <c r="DZ83" s="10"/>
      <c r="EA83" s="10"/>
      <c r="EB83" s="10"/>
      <c r="EC83" s="10"/>
      <c r="ED83" s="10"/>
      <c r="EE83" s="10"/>
      <c r="EF83" s="10"/>
      <c r="EG83" s="10"/>
      <c r="EH83" s="10"/>
      <c r="EI83" s="10"/>
      <c r="EJ83" s="10"/>
      <c r="EK83" s="10"/>
      <c r="EL83" s="10"/>
      <c r="EM83" s="10"/>
      <c r="EN83" s="10"/>
      <c r="EO83" s="10"/>
      <c r="EP83" s="10"/>
      <c r="EQ83" s="10"/>
      <c r="ER83" s="10"/>
      <c r="ES83" s="10"/>
      <c r="ET83" s="10"/>
      <c r="EU83" s="10"/>
      <c r="EV83" s="10"/>
      <c r="EW83" s="10"/>
      <c r="EX83" s="10"/>
      <c r="EY83" s="10"/>
      <c r="EZ83" s="10"/>
      <c r="FA83" s="10"/>
      <c r="FB83" s="10"/>
      <c r="FC83" s="10"/>
      <c r="FD83" s="10"/>
      <c r="FE83" s="10"/>
    </row>
    <row r="84" spans="2:161" x14ac:dyDescent="0.25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  <c r="BT84" s="10"/>
      <c r="BU84" s="10"/>
      <c r="BV84" s="10"/>
      <c r="BW84" s="10"/>
      <c r="BX84" s="10"/>
      <c r="BY84" s="10"/>
      <c r="BZ84" s="10"/>
      <c r="CA84" s="10"/>
      <c r="CB84" s="10"/>
      <c r="CC84" s="10"/>
      <c r="CD84" s="10"/>
      <c r="CE84" s="10"/>
      <c r="CF84" s="10"/>
      <c r="CG84" s="10"/>
      <c r="CH84" s="10"/>
      <c r="CI84" s="10"/>
      <c r="CJ84" s="10"/>
      <c r="CK84" s="10"/>
      <c r="CL84" s="10"/>
      <c r="CM84" s="10"/>
      <c r="CN84" s="10"/>
      <c r="CO84" s="10"/>
      <c r="CP84" s="10"/>
      <c r="CQ84" s="10"/>
      <c r="CR84" s="10"/>
      <c r="CS84" s="10"/>
      <c r="CT84" s="10"/>
      <c r="CU84" s="10"/>
      <c r="CV84" s="10"/>
      <c r="CW84" s="10"/>
      <c r="CX84" s="10"/>
      <c r="CY84" s="10"/>
      <c r="CZ84" s="10"/>
      <c r="DA84" s="10"/>
      <c r="DB84" s="10"/>
      <c r="DC84" s="10"/>
      <c r="DD84" s="10"/>
      <c r="DE84" s="10"/>
      <c r="DF84" s="10"/>
      <c r="DG84" s="10"/>
      <c r="DH84" s="10"/>
      <c r="DI84" s="10"/>
      <c r="DJ84" s="10"/>
      <c r="DK84" s="10"/>
      <c r="DL84" s="10"/>
      <c r="DM84" s="10"/>
      <c r="DN84" s="10"/>
      <c r="DO84" s="10"/>
      <c r="DP84" s="10"/>
      <c r="DQ84" s="10"/>
      <c r="DR84" s="10"/>
      <c r="DS84" s="10"/>
      <c r="DT84" s="10"/>
      <c r="DU84" s="10"/>
      <c r="DV84" s="10"/>
      <c r="DW84" s="10"/>
      <c r="DX84" s="10"/>
      <c r="DY84" s="10"/>
      <c r="DZ84" s="10"/>
      <c r="EA84" s="10"/>
      <c r="EB84" s="10"/>
      <c r="EC84" s="10"/>
      <c r="ED84" s="10"/>
      <c r="EE84" s="10"/>
      <c r="EF84" s="10"/>
      <c r="EG84" s="10"/>
      <c r="EH84" s="10"/>
      <c r="EI84" s="10"/>
      <c r="EJ84" s="10"/>
      <c r="EK84" s="10"/>
      <c r="EL84" s="10"/>
      <c r="EM84" s="10"/>
      <c r="EN84" s="10"/>
      <c r="EO84" s="10"/>
      <c r="EP84" s="10"/>
      <c r="EQ84" s="10"/>
      <c r="ER84" s="10"/>
      <c r="ES84" s="10"/>
      <c r="ET84" s="10"/>
      <c r="EU84" s="10"/>
      <c r="EV84" s="10"/>
      <c r="EW84" s="10"/>
      <c r="EX84" s="10"/>
      <c r="EY84" s="10"/>
      <c r="EZ84" s="10"/>
      <c r="FA84" s="10"/>
      <c r="FB84" s="10"/>
      <c r="FC84" s="10"/>
      <c r="FD84" s="10"/>
      <c r="FE84" s="10"/>
    </row>
    <row r="85" spans="2:161" x14ac:dyDescent="0.25"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  <c r="BT85" s="10"/>
      <c r="BU85" s="10"/>
      <c r="BV85" s="10"/>
      <c r="BW85" s="10"/>
      <c r="BX85" s="10"/>
      <c r="BY85" s="10"/>
      <c r="BZ85" s="10"/>
      <c r="CA85" s="10"/>
      <c r="CB85" s="10"/>
      <c r="CC85" s="10"/>
      <c r="CD85" s="10"/>
      <c r="CE85" s="10"/>
      <c r="CF85" s="10"/>
      <c r="CG85" s="10"/>
      <c r="CH85" s="10"/>
      <c r="CI85" s="10"/>
      <c r="CJ85" s="10"/>
      <c r="CK85" s="10"/>
      <c r="CL85" s="10"/>
      <c r="CM85" s="10"/>
      <c r="CN85" s="10"/>
      <c r="CO85" s="10"/>
      <c r="CP85" s="10"/>
      <c r="CQ85" s="10"/>
      <c r="CR85" s="10"/>
      <c r="CS85" s="10"/>
      <c r="CT85" s="10"/>
      <c r="CU85" s="10"/>
      <c r="CV85" s="10"/>
      <c r="CW85" s="10"/>
      <c r="CX85" s="10"/>
      <c r="CY85" s="10"/>
      <c r="CZ85" s="10"/>
      <c r="DA85" s="10"/>
      <c r="DB85" s="10"/>
      <c r="DC85" s="10"/>
      <c r="DD85" s="10"/>
      <c r="DE85" s="10"/>
      <c r="DF85" s="10"/>
      <c r="DG85" s="10"/>
      <c r="DH85" s="10"/>
      <c r="DI85" s="10"/>
      <c r="DJ85" s="10"/>
      <c r="DK85" s="10"/>
      <c r="DL85" s="10"/>
      <c r="DM85" s="10"/>
      <c r="DN85" s="10"/>
      <c r="DO85" s="10"/>
      <c r="DP85" s="10"/>
      <c r="DQ85" s="10"/>
      <c r="DR85" s="10"/>
      <c r="DS85" s="10"/>
      <c r="DT85" s="10"/>
      <c r="DU85" s="10"/>
      <c r="DV85" s="10"/>
      <c r="DW85" s="10"/>
      <c r="DX85" s="10"/>
      <c r="DY85" s="10"/>
      <c r="DZ85" s="10"/>
      <c r="EA85" s="10"/>
      <c r="EB85" s="10"/>
      <c r="EC85" s="10"/>
      <c r="ED85" s="10"/>
      <c r="EE85" s="10"/>
      <c r="EF85" s="10"/>
      <c r="EG85" s="10"/>
      <c r="EH85" s="10"/>
      <c r="EI85" s="10"/>
      <c r="EJ85" s="10"/>
      <c r="EK85" s="10"/>
      <c r="EL85" s="10"/>
      <c r="EM85" s="10"/>
      <c r="EN85" s="10"/>
      <c r="EO85" s="10"/>
      <c r="EP85" s="10"/>
      <c r="EQ85" s="10"/>
      <c r="ER85" s="10"/>
      <c r="ES85" s="10"/>
      <c r="ET85" s="10"/>
      <c r="EU85" s="10"/>
      <c r="EV85" s="10"/>
      <c r="EW85" s="10"/>
      <c r="EX85" s="10"/>
      <c r="EY85" s="10"/>
      <c r="EZ85" s="10"/>
      <c r="FA85" s="10"/>
      <c r="FB85" s="10"/>
      <c r="FC85" s="10"/>
      <c r="FD85" s="10"/>
      <c r="FE85" s="10"/>
    </row>
    <row r="86" spans="2:161" x14ac:dyDescent="0.25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  <c r="BT86" s="10"/>
      <c r="BU86" s="10"/>
      <c r="BV86" s="10"/>
      <c r="BW86" s="10"/>
      <c r="BX86" s="10"/>
      <c r="BY86" s="10"/>
      <c r="BZ86" s="10"/>
      <c r="CA86" s="10"/>
      <c r="CB86" s="10"/>
      <c r="CC86" s="10"/>
      <c r="CD86" s="10"/>
      <c r="CE86" s="10"/>
      <c r="CF86" s="10"/>
      <c r="CG86" s="10"/>
      <c r="CH86" s="10"/>
      <c r="CI86" s="10"/>
      <c r="CJ86" s="10"/>
      <c r="CK86" s="10"/>
      <c r="CL86" s="10"/>
      <c r="CM86" s="10"/>
      <c r="CN86" s="10"/>
      <c r="CO86" s="10"/>
      <c r="CP86" s="10"/>
      <c r="CQ86" s="10"/>
      <c r="CR86" s="10"/>
      <c r="CS86" s="10"/>
      <c r="CT86" s="10"/>
      <c r="CU86" s="10"/>
      <c r="CV86" s="10"/>
      <c r="CW86" s="10"/>
      <c r="CX86" s="10"/>
      <c r="CY86" s="10"/>
      <c r="CZ86" s="10"/>
      <c r="DA86" s="10"/>
      <c r="DB86" s="10"/>
      <c r="DC86" s="10"/>
      <c r="DD86" s="10"/>
      <c r="DE86" s="10"/>
      <c r="DF86" s="10"/>
      <c r="DG86" s="10"/>
      <c r="DH86" s="10"/>
      <c r="DI86" s="10"/>
      <c r="DJ86" s="10"/>
      <c r="DK86" s="10"/>
      <c r="DL86" s="10"/>
      <c r="DM86" s="10"/>
      <c r="DN86" s="10"/>
      <c r="DO86" s="10"/>
      <c r="DP86" s="10"/>
      <c r="DQ86" s="10"/>
      <c r="DR86" s="10"/>
      <c r="DS86" s="10"/>
      <c r="DT86" s="10"/>
      <c r="DU86" s="10"/>
      <c r="DV86" s="10"/>
      <c r="DW86" s="10"/>
      <c r="DX86" s="10"/>
      <c r="DY86" s="10"/>
      <c r="DZ86" s="10"/>
      <c r="EA86" s="10"/>
      <c r="EB86" s="10"/>
      <c r="EC86" s="10"/>
      <c r="ED86" s="10"/>
      <c r="EE86" s="10"/>
      <c r="EF86" s="10"/>
      <c r="EG86" s="10"/>
      <c r="EH86" s="10"/>
      <c r="EI86" s="10"/>
      <c r="EJ86" s="10"/>
      <c r="EK86" s="10"/>
      <c r="EL86" s="10"/>
      <c r="EM86" s="10"/>
      <c r="EN86" s="10"/>
      <c r="EO86" s="10"/>
      <c r="EP86" s="10"/>
      <c r="EQ86" s="10"/>
      <c r="ER86" s="10"/>
      <c r="ES86" s="10"/>
      <c r="ET86" s="10"/>
      <c r="EU86" s="10"/>
      <c r="EV86" s="10"/>
      <c r="EW86" s="10"/>
      <c r="EX86" s="10"/>
      <c r="EY86" s="10"/>
      <c r="EZ86" s="10"/>
      <c r="FA86" s="10"/>
      <c r="FB86" s="10"/>
      <c r="FC86" s="10"/>
      <c r="FD86" s="10"/>
      <c r="FE86" s="10"/>
    </row>
    <row r="87" spans="2:161" x14ac:dyDescent="0.25"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  <c r="BT87" s="10"/>
      <c r="BU87" s="10"/>
      <c r="BV87" s="10"/>
      <c r="BW87" s="10"/>
      <c r="BX87" s="10"/>
      <c r="BY87" s="10"/>
      <c r="BZ87" s="10"/>
      <c r="CA87" s="10"/>
      <c r="CB87" s="10"/>
      <c r="CC87" s="10"/>
      <c r="CD87" s="10"/>
      <c r="CE87" s="10"/>
      <c r="CF87" s="10"/>
      <c r="CG87" s="10"/>
      <c r="CH87" s="10"/>
      <c r="CI87" s="10"/>
      <c r="CJ87" s="10"/>
      <c r="CK87" s="10"/>
      <c r="CL87" s="10"/>
      <c r="CM87" s="10"/>
      <c r="CN87" s="10"/>
      <c r="CO87" s="10"/>
      <c r="CP87" s="10"/>
      <c r="CQ87" s="10"/>
      <c r="CR87" s="10"/>
      <c r="CS87" s="10"/>
      <c r="CT87" s="10"/>
      <c r="CU87" s="10"/>
      <c r="CV87" s="10"/>
      <c r="CW87" s="10"/>
      <c r="CX87" s="10"/>
      <c r="CY87" s="10"/>
      <c r="CZ87" s="10"/>
      <c r="DA87" s="10"/>
      <c r="DB87" s="10"/>
      <c r="DC87" s="10"/>
      <c r="DD87" s="10"/>
      <c r="DE87" s="10"/>
      <c r="DF87" s="10"/>
      <c r="DG87" s="10"/>
      <c r="DH87" s="10"/>
      <c r="DI87" s="10"/>
      <c r="DJ87" s="10"/>
      <c r="DK87" s="10"/>
      <c r="DL87" s="10"/>
      <c r="DM87" s="10"/>
      <c r="DN87" s="10"/>
      <c r="DO87" s="10"/>
      <c r="DP87" s="10"/>
      <c r="DQ87" s="10"/>
      <c r="DR87" s="10"/>
      <c r="DS87" s="10"/>
      <c r="DT87" s="10"/>
      <c r="DU87" s="10"/>
      <c r="DV87" s="10"/>
      <c r="DW87" s="10"/>
      <c r="DX87" s="10"/>
      <c r="DY87" s="10"/>
      <c r="DZ87" s="10"/>
      <c r="EA87" s="10"/>
      <c r="EB87" s="10"/>
      <c r="EC87" s="10"/>
      <c r="ED87" s="10"/>
      <c r="EE87" s="10"/>
      <c r="EF87" s="10"/>
      <c r="EG87" s="10"/>
      <c r="EH87" s="10"/>
      <c r="EI87" s="10"/>
      <c r="EJ87" s="10"/>
      <c r="EK87" s="10"/>
      <c r="EL87" s="10"/>
      <c r="EM87" s="10"/>
      <c r="EN87" s="10"/>
      <c r="EO87" s="10"/>
      <c r="EP87" s="10"/>
      <c r="EQ87" s="10"/>
      <c r="ER87" s="10"/>
      <c r="ES87" s="10"/>
      <c r="ET87" s="10"/>
      <c r="EU87" s="10"/>
      <c r="EV87" s="10"/>
      <c r="EW87" s="10"/>
      <c r="EX87" s="10"/>
      <c r="EY87" s="10"/>
      <c r="EZ87" s="10"/>
      <c r="FA87" s="10"/>
      <c r="FB87" s="10"/>
      <c r="FC87" s="10"/>
      <c r="FD87" s="10"/>
      <c r="FE87" s="10"/>
    </row>
    <row r="88" spans="2:161" x14ac:dyDescent="0.25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  <c r="BT88" s="10"/>
      <c r="BU88" s="10"/>
      <c r="BV88" s="10"/>
      <c r="BW88" s="10"/>
      <c r="BX88" s="10"/>
      <c r="BY88" s="10"/>
      <c r="BZ88" s="10"/>
      <c r="CA88" s="10"/>
      <c r="CB88" s="10"/>
      <c r="CC88" s="10"/>
      <c r="CD88" s="10"/>
      <c r="CE88" s="10"/>
      <c r="CF88" s="10"/>
      <c r="CG88" s="10"/>
      <c r="CH88" s="10"/>
      <c r="CI88" s="10"/>
      <c r="CJ88" s="10"/>
      <c r="CK88" s="10"/>
      <c r="CL88" s="10"/>
      <c r="CM88" s="10"/>
      <c r="CN88" s="10"/>
      <c r="CO88" s="10"/>
      <c r="CP88" s="10"/>
      <c r="CQ88" s="10"/>
      <c r="CR88" s="10"/>
      <c r="CS88" s="10"/>
      <c r="CT88" s="10"/>
      <c r="CU88" s="10"/>
      <c r="CV88" s="10"/>
      <c r="CW88" s="10"/>
      <c r="CX88" s="10"/>
      <c r="CY88" s="10"/>
      <c r="CZ88" s="10"/>
      <c r="DA88" s="10"/>
      <c r="DB88" s="10"/>
      <c r="DC88" s="10"/>
      <c r="DD88" s="10"/>
      <c r="DE88" s="10"/>
      <c r="DF88" s="10"/>
      <c r="DG88" s="10"/>
      <c r="DH88" s="10"/>
      <c r="DI88" s="10"/>
      <c r="DJ88" s="10"/>
      <c r="DK88" s="10"/>
      <c r="DL88" s="10"/>
      <c r="DM88" s="10"/>
      <c r="DN88" s="10"/>
      <c r="DO88" s="10"/>
      <c r="DP88" s="10"/>
      <c r="DQ88" s="10"/>
      <c r="DR88" s="10"/>
      <c r="DS88" s="10"/>
      <c r="DT88" s="10"/>
      <c r="DU88" s="10"/>
      <c r="DV88" s="10"/>
      <c r="DW88" s="10"/>
      <c r="DX88" s="10"/>
      <c r="DY88" s="10"/>
      <c r="DZ88" s="10"/>
      <c r="EA88" s="10"/>
      <c r="EB88" s="10"/>
      <c r="EC88" s="10"/>
      <c r="ED88" s="10"/>
      <c r="EE88" s="10"/>
      <c r="EF88" s="10"/>
      <c r="EG88" s="10"/>
      <c r="EH88" s="10"/>
      <c r="EI88" s="10"/>
      <c r="EJ88" s="10"/>
      <c r="EK88" s="10"/>
      <c r="EL88" s="10"/>
      <c r="EM88" s="10"/>
      <c r="EN88" s="10"/>
      <c r="EO88" s="10"/>
      <c r="EP88" s="10"/>
      <c r="EQ88" s="10"/>
      <c r="ER88" s="10"/>
      <c r="ES88" s="10"/>
      <c r="ET88" s="10"/>
      <c r="EU88" s="10"/>
      <c r="EV88" s="10"/>
      <c r="EW88" s="10"/>
      <c r="EX88" s="10"/>
      <c r="EY88" s="10"/>
      <c r="EZ88" s="10"/>
      <c r="FA88" s="10"/>
      <c r="FB88" s="10"/>
      <c r="FC88" s="10"/>
      <c r="FD88" s="10"/>
      <c r="FE88" s="10"/>
    </row>
    <row r="89" spans="2:161" x14ac:dyDescent="0.25"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  <c r="BT89" s="10"/>
      <c r="BU89" s="10"/>
      <c r="BV89" s="10"/>
      <c r="BW89" s="10"/>
      <c r="BX89" s="10"/>
      <c r="BY89" s="10"/>
      <c r="BZ89" s="10"/>
      <c r="CA89" s="10"/>
      <c r="CB89" s="10"/>
      <c r="CC89" s="10"/>
      <c r="CD89" s="10"/>
      <c r="CE89" s="10"/>
      <c r="CF89" s="10"/>
      <c r="CG89" s="10"/>
      <c r="CH89" s="10"/>
      <c r="CI89" s="10"/>
      <c r="CJ89" s="10"/>
      <c r="CK89" s="10"/>
      <c r="CL89" s="10"/>
      <c r="CM89" s="10"/>
      <c r="CN89" s="10"/>
      <c r="CO89" s="10"/>
      <c r="CP89" s="10"/>
      <c r="CQ89" s="10"/>
      <c r="CR89" s="10"/>
      <c r="CS89" s="10"/>
      <c r="CT89" s="10"/>
      <c r="CU89" s="10"/>
      <c r="CV89" s="10"/>
      <c r="CW89" s="10"/>
      <c r="CX89" s="10"/>
      <c r="CY89" s="10"/>
      <c r="CZ89" s="10"/>
      <c r="DA89" s="10"/>
      <c r="DB89" s="10"/>
      <c r="DC89" s="10"/>
      <c r="DD89" s="10"/>
      <c r="DE89" s="10"/>
      <c r="DF89" s="10"/>
      <c r="DG89" s="10"/>
      <c r="DH89" s="10"/>
      <c r="DI89" s="10"/>
      <c r="DJ89" s="10"/>
      <c r="DK89" s="10"/>
      <c r="DL89" s="10"/>
      <c r="DM89" s="10"/>
      <c r="DN89" s="10"/>
      <c r="DO89" s="10"/>
      <c r="DP89" s="10"/>
      <c r="DQ89" s="10"/>
      <c r="DR89" s="10"/>
      <c r="DS89" s="10"/>
      <c r="DT89" s="10"/>
      <c r="DU89" s="10"/>
      <c r="DV89" s="10"/>
      <c r="DW89" s="10"/>
      <c r="DX89" s="10"/>
      <c r="DY89" s="10"/>
      <c r="DZ89" s="10"/>
      <c r="EA89" s="10"/>
      <c r="EB89" s="10"/>
      <c r="EC89" s="10"/>
      <c r="ED89" s="10"/>
      <c r="EE89" s="10"/>
      <c r="EF89" s="10"/>
      <c r="EG89" s="10"/>
      <c r="EH89" s="10"/>
      <c r="EI89" s="10"/>
      <c r="EJ89" s="10"/>
      <c r="EK89" s="10"/>
      <c r="EL89" s="10"/>
      <c r="EM89" s="10"/>
      <c r="EN89" s="10"/>
      <c r="EO89" s="10"/>
      <c r="EP89" s="10"/>
      <c r="EQ89" s="10"/>
      <c r="ER89" s="10"/>
      <c r="ES89" s="10"/>
      <c r="ET89" s="10"/>
      <c r="EU89" s="10"/>
      <c r="EV89" s="10"/>
      <c r="EW89" s="10"/>
      <c r="EX89" s="10"/>
      <c r="EY89" s="10"/>
      <c r="EZ89" s="10"/>
      <c r="FA89" s="10"/>
      <c r="FB89" s="10"/>
      <c r="FC89" s="10"/>
      <c r="FD89" s="10"/>
      <c r="FE89" s="10"/>
    </row>
    <row r="90" spans="2:161" x14ac:dyDescent="0.25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  <c r="BT90" s="10"/>
      <c r="BU90" s="10"/>
      <c r="BV90" s="10"/>
      <c r="BW90" s="10"/>
      <c r="BX90" s="10"/>
      <c r="BY90" s="10"/>
      <c r="BZ90" s="10"/>
      <c r="CA90" s="10"/>
      <c r="CB90" s="10"/>
      <c r="CC90" s="10"/>
      <c r="CD90" s="10"/>
      <c r="CE90" s="10"/>
      <c r="CF90" s="10"/>
      <c r="CG90" s="10"/>
      <c r="CH90" s="10"/>
      <c r="CI90" s="10"/>
      <c r="CJ90" s="10"/>
      <c r="CK90" s="10"/>
      <c r="CL90" s="10"/>
      <c r="CM90" s="10"/>
      <c r="CN90" s="10"/>
      <c r="CO90" s="10"/>
      <c r="CP90" s="10"/>
      <c r="CQ90" s="10"/>
      <c r="CR90" s="10"/>
      <c r="CS90" s="10"/>
      <c r="CT90" s="10"/>
      <c r="CU90" s="10"/>
      <c r="CV90" s="10"/>
      <c r="CW90" s="10"/>
      <c r="CX90" s="10"/>
      <c r="CY90" s="10"/>
      <c r="CZ90" s="10"/>
      <c r="DA90" s="10"/>
      <c r="DB90" s="10"/>
      <c r="DC90" s="10"/>
      <c r="DD90" s="10"/>
      <c r="DE90" s="10"/>
      <c r="DF90" s="10"/>
      <c r="DG90" s="10"/>
      <c r="DH90" s="10"/>
      <c r="DI90" s="10"/>
      <c r="DJ90" s="10"/>
      <c r="DK90" s="10"/>
      <c r="DL90" s="10"/>
      <c r="DM90" s="10"/>
      <c r="DN90" s="10"/>
      <c r="DO90" s="10"/>
      <c r="DP90" s="10"/>
      <c r="DQ90" s="10"/>
      <c r="DR90" s="10"/>
      <c r="DS90" s="10"/>
      <c r="DT90" s="10"/>
      <c r="DU90" s="10"/>
      <c r="DV90" s="10"/>
      <c r="DW90" s="10"/>
      <c r="DX90" s="10"/>
      <c r="DY90" s="10"/>
      <c r="DZ90" s="10"/>
      <c r="EA90" s="10"/>
      <c r="EB90" s="10"/>
      <c r="EC90" s="10"/>
      <c r="ED90" s="10"/>
      <c r="EE90" s="10"/>
      <c r="EF90" s="10"/>
      <c r="EG90" s="10"/>
      <c r="EH90" s="10"/>
      <c r="EI90" s="10"/>
      <c r="EJ90" s="10"/>
      <c r="EK90" s="10"/>
      <c r="EL90" s="10"/>
      <c r="EM90" s="10"/>
      <c r="EN90" s="10"/>
      <c r="EO90" s="10"/>
      <c r="EP90" s="10"/>
      <c r="EQ90" s="10"/>
      <c r="ER90" s="10"/>
      <c r="ES90" s="10"/>
      <c r="ET90" s="10"/>
      <c r="EU90" s="10"/>
      <c r="EV90" s="10"/>
      <c r="EW90" s="10"/>
      <c r="EX90" s="10"/>
      <c r="EY90" s="10"/>
      <c r="EZ90" s="10"/>
      <c r="FA90" s="10"/>
      <c r="FB90" s="10"/>
      <c r="FC90" s="10"/>
      <c r="FD90" s="10"/>
      <c r="FE90" s="10"/>
    </row>
    <row r="91" spans="2:161" x14ac:dyDescent="0.25"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  <c r="BT91" s="10"/>
      <c r="BU91" s="10"/>
      <c r="BV91" s="10"/>
      <c r="BW91" s="10"/>
      <c r="BX91" s="10"/>
      <c r="BY91" s="10"/>
      <c r="BZ91" s="10"/>
      <c r="CA91" s="10"/>
      <c r="CB91" s="10"/>
      <c r="CC91" s="10"/>
      <c r="CD91" s="10"/>
      <c r="CE91" s="10"/>
      <c r="CF91" s="10"/>
      <c r="CG91" s="10"/>
      <c r="CH91" s="10"/>
      <c r="CI91" s="10"/>
      <c r="CJ91" s="10"/>
      <c r="CK91" s="10"/>
      <c r="CL91" s="10"/>
      <c r="CM91" s="10"/>
      <c r="CN91" s="10"/>
      <c r="CO91" s="10"/>
      <c r="CP91" s="10"/>
      <c r="CQ91" s="10"/>
      <c r="CR91" s="10"/>
      <c r="CS91" s="10"/>
      <c r="CT91" s="10"/>
      <c r="CU91" s="10"/>
      <c r="CV91" s="10"/>
      <c r="CW91" s="10"/>
      <c r="CX91" s="10"/>
      <c r="CY91" s="10"/>
      <c r="CZ91" s="10"/>
      <c r="DA91" s="10"/>
      <c r="DB91" s="10"/>
      <c r="DC91" s="10"/>
      <c r="DD91" s="10"/>
      <c r="DE91" s="10"/>
      <c r="DF91" s="10"/>
      <c r="DG91" s="10"/>
      <c r="DH91" s="10"/>
      <c r="DI91" s="10"/>
      <c r="DJ91" s="10"/>
      <c r="DK91" s="10"/>
      <c r="DL91" s="10"/>
      <c r="DM91" s="10"/>
      <c r="DN91" s="10"/>
      <c r="DO91" s="10"/>
      <c r="DP91" s="10"/>
      <c r="DQ91" s="10"/>
      <c r="DR91" s="10"/>
      <c r="DS91" s="10"/>
      <c r="DT91" s="10"/>
      <c r="DU91" s="10"/>
      <c r="DV91" s="10"/>
      <c r="DW91" s="10"/>
      <c r="DX91" s="10"/>
      <c r="DY91" s="10"/>
      <c r="DZ91" s="10"/>
      <c r="EA91" s="10"/>
      <c r="EB91" s="10"/>
      <c r="EC91" s="10"/>
      <c r="ED91" s="10"/>
      <c r="EE91" s="10"/>
      <c r="EF91" s="10"/>
      <c r="EG91" s="10"/>
      <c r="EH91" s="10"/>
      <c r="EI91" s="10"/>
      <c r="EJ91" s="10"/>
      <c r="EK91" s="10"/>
      <c r="EL91" s="10"/>
      <c r="EM91" s="10"/>
      <c r="EN91" s="10"/>
      <c r="EO91" s="10"/>
      <c r="EP91" s="10"/>
      <c r="EQ91" s="10"/>
      <c r="ER91" s="10"/>
      <c r="ES91" s="10"/>
      <c r="ET91" s="10"/>
      <c r="EU91" s="10"/>
      <c r="EV91" s="10"/>
      <c r="EW91" s="10"/>
      <c r="EX91" s="10"/>
      <c r="EY91" s="10"/>
      <c r="EZ91" s="10"/>
      <c r="FA91" s="10"/>
      <c r="FB91" s="10"/>
      <c r="FC91" s="10"/>
      <c r="FD91" s="10"/>
      <c r="FE91" s="10"/>
    </row>
    <row r="92" spans="2:161" x14ac:dyDescent="0.25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  <c r="BT92" s="10"/>
      <c r="BU92" s="10"/>
      <c r="BV92" s="10"/>
      <c r="BW92" s="10"/>
      <c r="BX92" s="10"/>
      <c r="BY92" s="10"/>
      <c r="BZ92" s="10"/>
      <c r="CA92" s="10"/>
      <c r="CB92" s="10"/>
      <c r="CC92" s="10"/>
      <c r="CD92" s="10"/>
      <c r="CE92" s="10"/>
      <c r="CF92" s="10"/>
      <c r="CG92" s="10"/>
      <c r="CH92" s="10"/>
      <c r="CI92" s="10"/>
      <c r="CJ92" s="10"/>
      <c r="CK92" s="10"/>
      <c r="CL92" s="10"/>
      <c r="CM92" s="10"/>
      <c r="CN92" s="10"/>
      <c r="CO92" s="10"/>
      <c r="CP92" s="10"/>
      <c r="CQ92" s="10"/>
      <c r="CR92" s="10"/>
      <c r="CS92" s="10"/>
      <c r="CT92" s="10"/>
      <c r="CU92" s="10"/>
      <c r="CV92" s="10"/>
      <c r="CW92" s="10"/>
      <c r="CX92" s="10"/>
      <c r="CY92" s="10"/>
      <c r="CZ92" s="10"/>
      <c r="DA92" s="10"/>
      <c r="DB92" s="10"/>
      <c r="DC92" s="10"/>
      <c r="DD92" s="10"/>
      <c r="DE92" s="10"/>
      <c r="DF92" s="10"/>
      <c r="DG92" s="10"/>
      <c r="DH92" s="10"/>
      <c r="DI92" s="10"/>
      <c r="DJ92" s="10"/>
      <c r="DK92" s="10"/>
      <c r="DL92" s="10"/>
      <c r="DM92" s="10"/>
      <c r="DN92" s="10"/>
      <c r="DO92" s="10"/>
      <c r="DP92" s="10"/>
      <c r="DQ92" s="10"/>
      <c r="DR92" s="10"/>
      <c r="DS92" s="10"/>
      <c r="DT92" s="10"/>
      <c r="DU92" s="10"/>
      <c r="DV92" s="10"/>
      <c r="DW92" s="10"/>
      <c r="DX92" s="10"/>
      <c r="DY92" s="10"/>
      <c r="DZ92" s="10"/>
      <c r="EA92" s="10"/>
      <c r="EB92" s="10"/>
      <c r="EC92" s="10"/>
      <c r="ED92" s="10"/>
      <c r="EE92" s="10"/>
      <c r="EF92" s="10"/>
      <c r="EG92" s="10"/>
      <c r="EH92" s="10"/>
      <c r="EI92" s="10"/>
      <c r="EJ92" s="10"/>
      <c r="EK92" s="10"/>
      <c r="EL92" s="10"/>
      <c r="EM92" s="10"/>
      <c r="EN92" s="10"/>
      <c r="EO92" s="10"/>
      <c r="EP92" s="10"/>
      <c r="EQ92" s="10"/>
      <c r="ER92" s="10"/>
      <c r="ES92" s="10"/>
      <c r="ET92" s="10"/>
      <c r="EU92" s="10"/>
      <c r="EV92" s="10"/>
      <c r="EW92" s="10"/>
      <c r="EX92" s="10"/>
      <c r="EY92" s="10"/>
      <c r="EZ92" s="10"/>
      <c r="FA92" s="10"/>
      <c r="FB92" s="10"/>
      <c r="FC92" s="10"/>
      <c r="FD92" s="10"/>
      <c r="FE92" s="10"/>
    </row>
    <row r="93" spans="2:161" x14ac:dyDescent="0.25"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  <c r="BT93" s="10"/>
      <c r="BU93" s="10"/>
      <c r="BV93" s="10"/>
      <c r="BW93" s="10"/>
      <c r="BX93" s="10"/>
      <c r="BY93" s="10"/>
      <c r="BZ93" s="10"/>
      <c r="CA93" s="10"/>
      <c r="CB93" s="10"/>
      <c r="CC93" s="10"/>
      <c r="CD93" s="10"/>
      <c r="CE93" s="10"/>
      <c r="CF93" s="10"/>
      <c r="CG93" s="10"/>
      <c r="CH93" s="10"/>
      <c r="CI93" s="10"/>
      <c r="CJ93" s="10"/>
      <c r="CK93" s="10"/>
      <c r="CL93" s="10"/>
      <c r="CM93" s="10"/>
      <c r="CN93" s="10"/>
      <c r="CO93" s="10"/>
      <c r="CP93" s="10"/>
      <c r="CQ93" s="10"/>
      <c r="CR93" s="10"/>
      <c r="CS93" s="10"/>
      <c r="CT93" s="10"/>
      <c r="CU93" s="10"/>
      <c r="CV93" s="10"/>
      <c r="CW93" s="10"/>
      <c r="CX93" s="10"/>
      <c r="CY93" s="10"/>
      <c r="CZ93" s="10"/>
      <c r="DA93" s="10"/>
      <c r="DB93" s="10"/>
      <c r="DC93" s="10"/>
      <c r="DD93" s="10"/>
      <c r="DE93" s="10"/>
      <c r="DF93" s="10"/>
      <c r="DG93" s="10"/>
      <c r="DH93" s="10"/>
      <c r="DI93" s="10"/>
      <c r="DJ93" s="10"/>
      <c r="DK93" s="10"/>
      <c r="DL93" s="10"/>
      <c r="DM93" s="10"/>
      <c r="DN93" s="10"/>
      <c r="DO93" s="10"/>
      <c r="DP93" s="10"/>
      <c r="DQ93" s="10"/>
      <c r="DR93" s="10"/>
      <c r="DS93" s="10"/>
      <c r="DT93" s="10"/>
      <c r="DU93" s="10"/>
      <c r="DV93" s="10"/>
      <c r="DW93" s="10"/>
      <c r="DX93" s="10"/>
      <c r="DY93" s="10"/>
      <c r="DZ93" s="10"/>
      <c r="EA93" s="10"/>
      <c r="EB93" s="10"/>
      <c r="EC93" s="10"/>
      <c r="ED93" s="10"/>
      <c r="EE93" s="10"/>
      <c r="EF93" s="10"/>
      <c r="EG93" s="10"/>
      <c r="EH93" s="10"/>
      <c r="EI93" s="10"/>
      <c r="EJ93" s="10"/>
      <c r="EK93" s="10"/>
      <c r="EL93" s="10"/>
      <c r="EM93" s="10"/>
      <c r="EN93" s="10"/>
      <c r="EO93" s="10"/>
      <c r="EP93" s="10"/>
      <c r="EQ93" s="10"/>
      <c r="ER93" s="10"/>
      <c r="ES93" s="10"/>
      <c r="ET93" s="10"/>
      <c r="EU93" s="10"/>
      <c r="EV93" s="10"/>
      <c r="EW93" s="10"/>
      <c r="EX93" s="10"/>
      <c r="EY93" s="10"/>
      <c r="EZ93" s="10"/>
      <c r="FA93" s="10"/>
      <c r="FB93" s="10"/>
      <c r="FC93" s="10"/>
      <c r="FD93" s="10"/>
      <c r="FE93" s="10"/>
    </row>
    <row r="94" spans="2:161" x14ac:dyDescent="0.25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  <c r="BT94" s="10"/>
      <c r="BU94" s="10"/>
      <c r="BV94" s="10"/>
      <c r="BW94" s="10"/>
      <c r="BX94" s="10"/>
      <c r="BY94" s="10"/>
      <c r="BZ94" s="10"/>
      <c r="CA94" s="10"/>
      <c r="CB94" s="10"/>
      <c r="CC94" s="10"/>
      <c r="CD94" s="10"/>
      <c r="CE94" s="10"/>
      <c r="CF94" s="10"/>
      <c r="CG94" s="10"/>
      <c r="CH94" s="10"/>
      <c r="CI94" s="10"/>
      <c r="CJ94" s="10"/>
      <c r="CK94" s="10"/>
      <c r="CL94" s="10"/>
      <c r="CM94" s="10"/>
      <c r="CN94" s="10"/>
      <c r="CO94" s="10"/>
      <c r="CP94" s="10"/>
      <c r="CQ94" s="10"/>
      <c r="CR94" s="10"/>
      <c r="CS94" s="10"/>
      <c r="CT94" s="10"/>
      <c r="CU94" s="10"/>
      <c r="CV94" s="10"/>
      <c r="CW94" s="10"/>
      <c r="CX94" s="10"/>
      <c r="CY94" s="10"/>
      <c r="CZ94" s="10"/>
      <c r="DA94" s="10"/>
      <c r="DB94" s="10"/>
      <c r="DC94" s="10"/>
      <c r="DD94" s="10"/>
      <c r="DE94" s="10"/>
      <c r="DF94" s="10"/>
      <c r="DG94" s="10"/>
      <c r="DH94" s="10"/>
      <c r="DI94" s="10"/>
      <c r="DJ94" s="10"/>
      <c r="DK94" s="10"/>
      <c r="DL94" s="10"/>
      <c r="DM94" s="10"/>
      <c r="DN94" s="10"/>
      <c r="DO94" s="10"/>
      <c r="DP94" s="10"/>
      <c r="DQ94" s="10"/>
      <c r="DR94" s="10"/>
      <c r="DS94" s="10"/>
      <c r="DT94" s="10"/>
      <c r="DU94" s="10"/>
      <c r="DV94" s="10"/>
      <c r="DW94" s="10"/>
      <c r="DX94" s="10"/>
      <c r="DY94" s="10"/>
      <c r="DZ94" s="10"/>
      <c r="EA94" s="10"/>
      <c r="EB94" s="10"/>
      <c r="EC94" s="10"/>
      <c r="ED94" s="10"/>
      <c r="EE94" s="10"/>
      <c r="EF94" s="10"/>
      <c r="EG94" s="10"/>
      <c r="EH94" s="10"/>
      <c r="EI94" s="10"/>
      <c r="EJ94" s="10"/>
      <c r="EK94" s="10"/>
      <c r="EL94" s="10"/>
      <c r="EM94" s="10"/>
      <c r="EN94" s="10"/>
      <c r="EO94" s="10"/>
      <c r="EP94" s="10"/>
      <c r="EQ94" s="10"/>
      <c r="ER94" s="10"/>
      <c r="ES94" s="10"/>
      <c r="ET94" s="10"/>
      <c r="EU94" s="10"/>
      <c r="EV94" s="10"/>
      <c r="EW94" s="10"/>
      <c r="EX94" s="10"/>
      <c r="EY94" s="10"/>
      <c r="EZ94" s="10"/>
      <c r="FA94" s="10"/>
      <c r="FB94" s="10"/>
      <c r="FC94" s="10"/>
      <c r="FD94" s="10"/>
      <c r="FE94" s="10"/>
    </row>
  </sheetData>
  <conditionalFormatting sqref="N5:W23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5:K23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2029C9-3302-46EA-84FA-F1AFFDE10CDD}">
  <sheetPr codeName="Sheet4"/>
  <dimension ref="A2:AJ38"/>
  <sheetViews>
    <sheetView zoomScale="85" zoomScaleNormal="85" workbookViewId="0">
      <selection activeCell="Z11" sqref="Z11"/>
    </sheetView>
  </sheetViews>
  <sheetFormatPr defaultRowHeight="15" x14ac:dyDescent="0.25"/>
  <cols>
    <col min="1" max="1" width="2.28515625" customWidth="1"/>
    <col min="2" max="24" width="2.5703125" customWidth="1"/>
    <col min="28" max="28" width="2.42578125" customWidth="1"/>
    <col min="31" max="31" width="2.42578125" customWidth="1"/>
    <col min="34" max="34" width="2.42578125" customWidth="1"/>
  </cols>
  <sheetData>
    <row r="2" spans="1:36" x14ac:dyDescent="0.25">
      <c r="B2" s="2" t="s">
        <v>18</v>
      </c>
      <c r="W2" s="30" t="s">
        <v>19</v>
      </c>
      <c r="X2" s="31">
        <f ca="1">MIN(INT(RAND()*6),5)</f>
        <v>1</v>
      </c>
    </row>
    <row r="3" spans="1:36" s="20" customFormat="1" x14ac:dyDescent="0.25">
      <c r="B3" s="18">
        <v>3</v>
      </c>
      <c r="C3" s="19">
        <v>4</v>
      </c>
      <c r="D3" s="20">
        <v>5</v>
      </c>
      <c r="E3" s="20">
        <v>6</v>
      </c>
      <c r="N3" s="20">
        <v>0</v>
      </c>
      <c r="O3" s="20">
        <v>1</v>
      </c>
      <c r="P3" s="20">
        <v>2</v>
      </c>
      <c r="Q3" s="20">
        <v>3</v>
      </c>
      <c r="Z3" s="36" t="s">
        <v>21</v>
      </c>
      <c r="AA3" s="36" t="s">
        <v>22</v>
      </c>
      <c r="AC3" s="36" t="s">
        <v>21</v>
      </c>
      <c r="AD3" s="36" t="s">
        <v>22</v>
      </c>
      <c r="AF3" s="36" t="s">
        <v>21</v>
      </c>
      <c r="AG3" s="36" t="s">
        <v>22</v>
      </c>
      <c r="AI3" s="36" t="s">
        <v>21</v>
      </c>
      <c r="AJ3" s="36" t="s">
        <v>22</v>
      </c>
    </row>
    <row r="4" spans="1:36" s="20" customFormat="1" ht="13.5" customHeight="1" x14ac:dyDescent="0.25">
      <c r="A4" s="20">
        <v>0</v>
      </c>
      <c r="B4" s="21"/>
      <c r="C4" s="22"/>
      <c r="D4" s="22"/>
      <c r="E4" s="22"/>
      <c r="F4" s="23"/>
      <c r="H4" s="21"/>
      <c r="I4" s="22"/>
      <c r="J4" s="22"/>
      <c r="K4" s="22"/>
      <c r="L4" s="23"/>
      <c r="M4" s="20">
        <v>0</v>
      </c>
      <c r="N4" s="21"/>
      <c r="O4" s="22"/>
      <c r="P4" s="22"/>
      <c r="Q4" s="22"/>
      <c r="R4" s="23"/>
      <c r="T4" s="21"/>
      <c r="U4" s="22"/>
      <c r="V4" s="22"/>
      <c r="W4" s="22"/>
      <c r="X4" s="23"/>
      <c r="Z4" s="37">
        <v>2</v>
      </c>
      <c r="AA4" s="37">
        <v>1</v>
      </c>
      <c r="AC4" s="37">
        <v>1</v>
      </c>
      <c r="AD4" s="37">
        <v>2</v>
      </c>
      <c r="AF4" s="37">
        <v>2</v>
      </c>
      <c r="AG4" s="37">
        <v>1</v>
      </c>
      <c r="AI4" s="37">
        <v>1</v>
      </c>
      <c r="AJ4" s="37">
        <v>2</v>
      </c>
    </row>
    <row r="5" spans="1:36" s="20" customFormat="1" ht="13.5" customHeight="1" x14ac:dyDescent="0.25">
      <c r="A5" s="20">
        <v>1</v>
      </c>
      <c r="B5" s="24"/>
      <c r="C5" s="25"/>
      <c r="D5" s="25">
        <v>1</v>
      </c>
      <c r="E5" s="25"/>
      <c r="F5" s="26"/>
      <c r="H5" s="24"/>
      <c r="I5" s="25"/>
      <c r="J5" s="25"/>
      <c r="K5" s="25"/>
      <c r="L5" s="26"/>
      <c r="M5" s="20">
        <v>1</v>
      </c>
      <c r="N5" s="24"/>
      <c r="O5" s="25"/>
      <c r="P5" s="25">
        <v>1</v>
      </c>
      <c r="Q5" s="25"/>
      <c r="R5" s="26"/>
      <c r="T5" s="24"/>
      <c r="U5" s="25"/>
      <c r="V5" s="25"/>
      <c r="W5" s="25"/>
      <c r="X5" s="26"/>
      <c r="Z5" s="37">
        <v>2</v>
      </c>
      <c r="AA5" s="37">
        <v>2</v>
      </c>
      <c r="AC5" s="37">
        <v>2</v>
      </c>
      <c r="AD5" s="37">
        <v>2</v>
      </c>
      <c r="AF5" s="37">
        <v>2</v>
      </c>
      <c r="AG5" s="37">
        <v>2</v>
      </c>
      <c r="AI5" s="37">
        <v>2</v>
      </c>
      <c r="AJ5" s="37">
        <v>2</v>
      </c>
    </row>
    <row r="6" spans="1:36" s="20" customFormat="1" ht="13.5" customHeight="1" x14ac:dyDescent="0.25">
      <c r="A6" s="20">
        <v>2</v>
      </c>
      <c r="B6" s="24"/>
      <c r="C6" s="25"/>
      <c r="D6" s="25">
        <v>1</v>
      </c>
      <c r="E6" s="25"/>
      <c r="F6" s="26"/>
      <c r="H6" s="24"/>
      <c r="I6" s="25">
        <v>1</v>
      </c>
      <c r="J6" s="25">
        <v>1</v>
      </c>
      <c r="K6" s="25">
        <v>1</v>
      </c>
      <c r="L6" s="26"/>
      <c r="M6" s="20">
        <v>2</v>
      </c>
      <c r="N6" s="24"/>
      <c r="O6" s="25"/>
      <c r="P6" s="25">
        <v>1</v>
      </c>
      <c r="Q6" s="25"/>
      <c r="R6" s="26"/>
      <c r="T6" s="24"/>
      <c r="U6" s="25">
        <v>1</v>
      </c>
      <c r="V6" s="25">
        <v>1</v>
      </c>
      <c r="W6" s="25">
        <v>1</v>
      </c>
      <c r="X6" s="26"/>
      <c r="Z6" s="37">
        <v>2</v>
      </c>
      <c r="AA6" s="37">
        <v>3</v>
      </c>
      <c r="AC6" s="37">
        <v>3</v>
      </c>
      <c r="AD6" s="37">
        <v>2</v>
      </c>
      <c r="AF6" s="37">
        <v>2</v>
      </c>
      <c r="AG6" s="37">
        <v>3</v>
      </c>
      <c r="AI6" s="37">
        <v>3</v>
      </c>
      <c r="AJ6" s="37">
        <v>2</v>
      </c>
    </row>
    <row r="7" spans="1:36" s="20" customFormat="1" ht="13.5" customHeight="1" x14ac:dyDescent="0.25">
      <c r="A7" s="20">
        <v>3</v>
      </c>
      <c r="B7" s="24"/>
      <c r="C7" s="25"/>
      <c r="D7" s="25">
        <v>1</v>
      </c>
      <c r="E7" s="25"/>
      <c r="F7" s="26"/>
      <c r="H7" s="24"/>
      <c r="I7" s="25"/>
      <c r="J7" s="25"/>
      <c r="K7" s="25"/>
      <c r="L7" s="26"/>
      <c r="M7" s="20">
        <v>3</v>
      </c>
      <c r="N7" s="24"/>
      <c r="O7" s="25"/>
      <c r="P7" s="25">
        <v>1</v>
      </c>
      <c r="Q7" s="25"/>
      <c r="R7" s="26"/>
      <c r="T7" s="24"/>
      <c r="U7" s="25"/>
      <c r="V7" s="25"/>
      <c r="W7" s="25"/>
      <c r="X7" s="26"/>
      <c r="Z7" s="37"/>
      <c r="AA7" s="37"/>
      <c r="AC7" s="37"/>
      <c r="AD7" s="37"/>
      <c r="AF7" s="37"/>
      <c r="AG7" s="37"/>
      <c r="AI7" s="37"/>
      <c r="AJ7" s="37"/>
    </row>
    <row r="8" spans="1:36" s="20" customFormat="1" ht="13.5" customHeight="1" x14ac:dyDescent="0.25">
      <c r="B8" s="27"/>
      <c r="C8" s="28"/>
      <c r="D8" s="28"/>
      <c r="E8" s="28"/>
      <c r="F8" s="29"/>
      <c r="H8" s="27"/>
      <c r="I8" s="28"/>
      <c r="J8" s="28"/>
      <c r="K8" s="28"/>
      <c r="L8" s="29"/>
      <c r="N8" s="27"/>
      <c r="O8" s="28"/>
      <c r="P8" s="28"/>
      <c r="Q8" s="28"/>
      <c r="R8" s="29"/>
      <c r="T8" s="27"/>
      <c r="U8" s="28"/>
      <c r="V8" s="28"/>
      <c r="W8" s="28"/>
      <c r="X8" s="29"/>
      <c r="Z8" s="37"/>
      <c r="AA8" s="37"/>
      <c r="AC8" s="37"/>
      <c r="AD8" s="37"/>
      <c r="AF8" s="37"/>
      <c r="AG8" s="37"/>
      <c r="AI8" s="37"/>
      <c r="AJ8" s="37"/>
    </row>
    <row r="9" spans="1:36" x14ac:dyDescent="0.25">
      <c r="A9" s="20"/>
      <c r="B9" s="18"/>
      <c r="C9" s="19"/>
      <c r="D9" s="20"/>
      <c r="E9" s="20"/>
      <c r="F9" s="20"/>
      <c r="G9" s="20"/>
      <c r="H9" s="20"/>
      <c r="I9" s="20"/>
      <c r="J9" s="20"/>
      <c r="K9" s="20"/>
      <c r="L9" s="20"/>
      <c r="M9" s="20"/>
      <c r="N9" s="20">
        <v>0</v>
      </c>
      <c r="O9" s="20">
        <v>1</v>
      </c>
      <c r="P9" s="20">
        <v>2</v>
      </c>
      <c r="Q9" s="20">
        <v>3</v>
      </c>
      <c r="R9" s="20"/>
      <c r="S9" s="20"/>
      <c r="T9" s="20"/>
      <c r="U9" s="20"/>
      <c r="V9" s="20"/>
      <c r="W9" s="20"/>
      <c r="X9" s="20"/>
    </row>
    <row r="10" spans="1:36" ht="13.5" customHeight="1" x14ac:dyDescent="0.25">
      <c r="A10" s="20"/>
      <c r="B10" s="21"/>
      <c r="C10" s="22"/>
      <c r="D10" s="22"/>
      <c r="E10" s="22"/>
      <c r="F10" s="23"/>
      <c r="G10" s="20"/>
      <c r="H10" s="21"/>
      <c r="I10" s="22"/>
      <c r="J10" s="22"/>
      <c r="K10" s="22"/>
      <c r="L10" s="23"/>
      <c r="M10" s="20">
        <v>0</v>
      </c>
      <c r="N10" s="21"/>
      <c r="O10" s="22"/>
      <c r="P10" s="22"/>
      <c r="Q10" s="22"/>
      <c r="R10" s="23"/>
      <c r="S10" s="20"/>
      <c r="T10" s="21"/>
      <c r="U10" s="22"/>
      <c r="V10" s="22"/>
      <c r="W10" s="22"/>
      <c r="X10" s="23"/>
      <c r="Z10" s="37">
        <v>2</v>
      </c>
      <c r="AA10" s="37">
        <v>1</v>
      </c>
      <c r="AB10" s="20"/>
      <c r="AC10" s="37">
        <v>1</v>
      </c>
      <c r="AD10" s="37">
        <v>3</v>
      </c>
      <c r="AE10" s="20"/>
      <c r="AF10" s="37">
        <v>1</v>
      </c>
      <c r="AG10" s="37">
        <v>1</v>
      </c>
      <c r="AH10" s="20"/>
      <c r="AI10" s="37">
        <v>1</v>
      </c>
      <c r="AJ10" s="37">
        <v>2</v>
      </c>
    </row>
    <row r="11" spans="1:36" ht="13.5" customHeight="1" x14ac:dyDescent="0.25">
      <c r="A11" s="20"/>
      <c r="B11" s="24"/>
      <c r="C11" s="25"/>
      <c r="D11" s="25">
        <v>1</v>
      </c>
      <c r="E11" s="25"/>
      <c r="F11" s="26"/>
      <c r="G11" s="20"/>
      <c r="H11" s="24"/>
      <c r="I11" s="25"/>
      <c r="J11" s="25"/>
      <c r="K11" s="25"/>
      <c r="L11" s="26"/>
      <c r="M11" s="20">
        <v>1</v>
      </c>
      <c r="N11" s="24"/>
      <c r="O11" s="25">
        <v>1</v>
      </c>
      <c r="P11" s="25"/>
      <c r="Q11" s="25"/>
      <c r="R11" s="26"/>
      <c r="S11" s="20"/>
      <c r="T11" s="24"/>
      <c r="U11" s="25"/>
      <c r="V11" s="25"/>
      <c r="W11" s="25">
        <v>1</v>
      </c>
      <c r="X11" s="26"/>
      <c r="Z11" s="37">
        <v>2</v>
      </c>
      <c r="AA11" s="37">
        <v>2</v>
      </c>
      <c r="AB11" s="20"/>
      <c r="AC11" s="37">
        <v>2</v>
      </c>
      <c r="AD11" s="37">
        <v>2</v>
      </c>
      <c r="AE11" s="20"/>
      <c r="AF11" s="37">
        <v>2</v>
      </c>
      <c r="AG11" s="37">
        <v>2</v>
      </c>
      <c r="AH11" s="20"/>
      <c r="AI11" s="37">
        <v>2</v>
      </c>
      <c r="AJ11" s="37">
        <v>2</v>
      </c>
    </row>
    <row r="12" spans="1:36" ht="13.5" customHeight="1" x14ac:dyDescent="0.25">
      <c r="A12" s="20"/>
      <c r="B12" s="24"/>
      <c r="C12" s="25"/>
      <c r="D12" s="25">
        <v>1</v>
      </c>
      <c r="E12" s="25"/>
      <c r="F12" s="26"/>
      <c r="G12" s="20"/>
      <c r="H12" s="24"/>
      <c r="I12" s="25"/>
      <c r="J12" s="25">
        <v>1</v>
      </c>
      <c r="K12" s="25">
        <v>1</v>
      </c>
      <c r="L12" s="26"/>
      <c r="M12" s="20">
        <v>2</v>
      </c>
      <c r="N12" s="24"/>
      <c r="O12" s="25"/>
      <c r="P12" s="25">
        <v>1</v>
      </c>
      <c r="Q12" s="25"/>
      <c r="R12" s="26"/>
      <c r="S12" s="20"/>
      <c r="T12" s="24"/>
      <c r="U12" s="25">
        <v>1</v>
      </c>
      <c r="V12" s="25">
        <v>1</v>
      </c>
      <c r="W12" s="25"/>
      <c r="X12" s="26"/>
      <c r="Z12" s="37">
        <v>3</v>
      </c>
      <c r="AA12" s="37">
        <v>3</v>
      </c>
      <c r="AB12" s="20"/>
      <c r="AC12" s="37">
        <v>3</v>
      </c>
      <c r="AD12" s="37">
        <v>2</v>
      </c>
      <c r="AE12" s="20"/>
      <c r="AF12" s="37">
        <v>2</v>
      </c>
      <c r="AG12" s="37">
        <v>3</v>
      </c>
      <c r="AH12" s="20"/>
      <c r="AI12" s="37">
        <v>3</v>
      </c>
      <c r="AJ12" s="37">
        <v>1</v>
      </c>
    </row>
    <row r="13" spans="1:36" ht="13.5" customHeight="1" x14ac:dyDescent="0.25">
      <c r="A13" s="20"/>
      <c r="B13" s="24"/>
      <c r="C13" s="25"/>
      <c r="D13" s="25"/>
      <c r="E13" s="25">
        <v>1</v>
      </c>
      <c r="F13" s="26"/>
      <c r="G13" s="20"/>
      <c r="H13" s="24"/>
      <c r="I13" s="25">
        <v>1</v>
      </c>
      <c r="J13" s="25"/>
      <c r="K13" s="25"/>
      <c r="L13" s="26"/>
      <c r="M13" s="20">
        <v>3</v>
      </c>
      <c r="N13" s="24"/>
      <c r="O13" s="25"/>
      <c r="P13" s="25">
        <v>1</v>
      </c>
      <c r="Q13" s="25"/>
      <c r="R13" s="26"/>
      <c r="S13" s="20"/>
      <c r="T13" s="24"/>
      <c r="U13" s="25"/>
      <c r="V13" s="25"/>
      <c r="W13" s="25"/>
      <c r="X13" s="26"/>
      <c r="Z13" s="37"/>
      <c r="AA13" s="37"/>
      <c r="AC13" s="37"/>
      <c r="AD13" s="37"/>
      <c r="AE13" s="20"/>
      <c r="AF13" s="37"/>
      <c r="AG13" s="37"/>
      <c r="AH13" s="20"/>
      <c r="AI13" s="37"/>
      <c r="AJ13" s="37"/>
    </row>
    <row r="14" spans="1:36" ht="13.5" customHeight="1" x14ac:dyDescent="0.25">
      <c r="A14" s="20"/>
      <c r="B14" s="27"/>
      <c r="C14" s="28"/>
      <c r="D14" s="28"/>
      <c r="E14" s="28"/>
      <c r="F14" s="29"/>
      <c r="G14" s="20"/>
      <c r="H14" s="27"/>
      <c r="I14" s="28"/>
      <c r="J14" s="28"/>
      <c r="K14" s="28"/>
      <c r="L14" s="29"/>
      <c r="M14" s="20"/>
      <c r="N14" s="27"/>
      <c r="O14" s="28"/>
      <c r="P14" s="28"/>
      <c r="Q14" s="28"/>
      <c r="R14" s="29"/>
      <c r="S14" s="20"/>
      <c r="T14" s="27"/>
      <c r="U14" s="28"/>
      <c r="V14" s="28"/>
      <c r="W14" s="28"/>
      <c r="X14" s="29"/>
      <c r="Z14" s="37"/>
      <c r="AA14" s="37"/>
      <c r="AC14" s="37"/>
      <c r="AD14" s="37"/>
      <c r="AE14" s="20"/>
      <c r="AF14" s="37"/>
      <c r="AG14" s="37"/>
      <c r="AH14" s="20"/>
      <c r="AI14" s="37"/>
      <c r="AJ14" s="37"/>
    </row>
    <row r="15" spans="1:36" x14ac:dyDescent="0.25">
      <c r="A15" s="20"/>
      <c r="B15" s="18"/>
      <c r="C15" s="19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>
        <v>0</v>
      </c>
      <c r="O15" s="20">
        <v>1</v>
      </c>
      <c r="P15" s="20">
        <v>2</v>
      </c>
      <c r="Q15" s="20">
        <v>3</v>
      </c>
      <c r="R15" s="20"/>
      <c r="S15" s="20"/>
      <c r="T15" s="20"/>
      <c r="U15" s="20"/>
      <c r="V15" s="20"/>
      <c r="W15" s="20"/>
      <c r="X15" s="20"/>
    </row>
    <row r="16" spans="1:36" ht="13.5" customHeight="1" x14ac:dyDescent="0.25">
      <c r="A16" s="20"/>
      <c r="B16" s="21"/>
      <c r="C16" s="22"/>
      <c r="D16" s="22"/>
      <c r="E16" s="22"/>
      <c r="F16" s="23"/>
      <c r="G16" s="20"/>
      <c r="H16" s="21"/>
      <c r="I16" s="22"/>
      <c r="J16" s="22"/>
      <c r="K16" s="22"/>
      <c r="L16" s="23"/>
      <c r="M16" s="20">
        <v>0</v>
      </c>
      <c r="N16" s="21"/>
      <c r="O16" s="22"/>
      <c r="P16" s="22"/>
      <c r="Q16" s="22"/>
      <c r="R16" s="23"/>
      <c r="S16" s="20"/>
      <c r="T16" s="21"/>
      <c r="U16" s="22"/>
      <c r="V16" s="22"/>
      <c r="W16" s="22"/>
      <c r="X16" s="23"/>
      <c r="Z16" s="37">
        <v>2</v>
      </c>
      <c r="AA16" s="37">
        <v>1</v>
      </c>
      <c r="AB16" s="20"/>
      <c r="AC16" s="37">
        <v>1</v>
      </c>
      <c r="AD16" s="37">
        <v>1</v>
      </c>
      <c r="AE16" s="20"/>
      <c r="AF16" s="37">
        <v>3</v>
      </c>
      <c r="AG16" s="37">
        <v>1</v>
      </c>
      <c r="AH16" s="20"/>
      <c r="AI16" s="37">
        <v>1</v>
      </c>
      <c r="AJ16" s="37">
        <v>2</v>
      </c>
    </row>
    <row r="17" spans="1:36" ht="13.5" customHeight="1" x14ac:dyDescent="0.25">
      <c r="A17" s="20"/>
      <c r="B17" s="24"/>
      <c r="C17" s="25"/>
      <c r="D17" s="25">
        <v>1</v>
      </c>
      <c r="E17" s="25"/>
      <c r="F17" s="26"/>
      <c r="G17" s="20"/>
      <c r="H17" s="24"/>
      <c r="I17" s="25">
        <v>1</v>
      </c>
      <c r="J17" s="25"/>
      <c r="K17" s="25"/>
      <c r="L17" s="26"/>
      <c r="M17" s="20">
        <v>1</v>
      </c>
      <c r="N17" s="24"/>
      <c r="O17" s="25"/>
      <c r="P17" s="25"/>
      <c r="Q17" s="25">
        <v>1</v>
      </c>
      <c r="R17" s="26"/>
      <c r="S17" s="20"/>
      <c r="T17" s="24"/>
      <c r="U17" s="25"/>
      <c r="V17" s="25"/>
      <c r="W17" s="25"/>
      <c r="X17" s="26"/>
      <c r="Z17" s="37">
        <v>2</v>
      </c>
      <c r="AA17" s="37">
        <v>2</v>
      </c>
      <c r="AB17" s="20"/>
      <c r="AC17" s="37">
        <v>2</v>
      </c>
      <c r="AD17" s="37">
        <v>2</v>
      </c>
      <c r="AE17" s="20"/>
      <c r="AF17" s="37">
        <v>2</v>
      </c>
      <c r="AG17" s="37">
        <v>2</v>
      </c>
      <c r="AH17" s="20"/>
      <c r="AI17" s="37">
        <v>2</v>
      </c>
      <c r="AJ17" s="37">
        <v>2</v>
      </c>
    </row>
    <row r="18" spans="1:36" ht="13.5" customHeight="1" x14ac:dyDescent="0.25">
      <c r="A18" s="20"/>
      <c r="B18" s="24"/>
      <c r="C18" s="25"/>
      <c r="D18" s="25">
        <v>1</v>
      </c>
      <c r="E18" s="25"/>
      <c r="F18" s="26"/>
      <c r="G18" s="20"/>
      <c r="H18" s="24"/>
      <c r="I18" s="25"/>
      <c r="J18" s="25">
        <v>1</v>
      </c>
      <c r="K18" s="25">
        <v>1</v>
      </c>
      <c r="L18" s="26"/>
      <c r="M18" s="20">
        <v>2</v>
      </c>
      <c r="N18" s="24"/>
      <c r="O18" s="25"/>
      <c r="P18" s="25">
        <v>1</v>
      </c>
      <c r="Q18" s="25"/>
      <c r="R18" s="26"/>
      <c r="S18" s="20"/>
      <c r="T18" s="24"/>
      <c r="U18" s="25">
        <v>1</v>
      </c>
      <c r="V18" s="25">
        <v>1</v>
      </c>
      <c r="W18" s="25"/>
      <c r="X18" s="26"/>
      <c r="Z18" s="37">
        <v>1</v>
      </c>
      <c r="AA18" s="37">
        <v>3</v>
      </c>
      <c r="AB18" s="20"/>
      <c r="AC18" s="37">
        <v>3</v>
      </c>
      <c r="AD18" s="37">
        <v>2</v>
      </c>
      <c r="AE18" s="20"/>
      <c r="AF18" s="37">
        <v>2</v>
      </c>
      <c r="AG18" s="37">
        <v>3</v>
      </c>
      <c r="AH18" s="20"/>
      <c r="AI18" s="37">
        <v>3</v>
      </c>
      <c r="AJ18" s="37">
        <v>3</v>
      </c>
    </row>
    <row r="19" spans="1:36" ht="13.5" customHeight="1" x14ac:dyDescent="0.25">
      <c r="A19" s="20"/>
      <c r="B19" s="24"/>
      <c r="C19" s="25">
        <v>1</v>
      </c>
      <c r="D19" s="25"/>
      <c r="E19" s="25"/>
      <c r="F19" s="26"/>
      <c r="G19" s="20"/>
      <c r="H19" s="24"/>
      <c r="I19" s="25"/>
      <c r="J19" s="25"/>
      <c r="K19" s="25"/>
      <c r="L19" s="26"/>
      <c r="M19" s="20">
        <v>3</v>
      </c>
      <c r="N19" s="24"/>
      <c r="O19" s="25"/>
      <c r="P19" s="25">
        <v>1</v>
      </c>
      <c r="Q19" s="25"/>
      <c r="R19" s="26"/>
      <c r="S19" s="20"/>
      <c r="T19" s="24"/>
      <c r="U19" s="25"/>
      <c r="V19" s="25"/>
      <c r="W19" s="25">
        <v>1</v>
      </c>
      <c r="X19" s="26"/>
      <c r="Z19" s="37"/>
      <c r="AA19" s="37"/>
      <c r="AB19" s="20"/>
      <c r="AC19" s="37"/>
      <c r="AD19" s="37"/>
      <c r="AE19" s="20"/>
      <c r="AF19" s="37"/>
      <c r="AG19" s="37"/>
      <c r="AH19" s="20"/>
      <c r="AI19" s="37"/>
      <c r="AJ19" s="37"/>
    </row>
    <row r="20" spans="1:36" ht="13.5" customHeight="1" x14ac:dyDescent="0.25">
      <c r="A20" s="20"/>
      <c r="B20" s="27"/>
      <c r="C20" s="28"/>
      <c r="D20" s="28"/>
      <c r="E20" s="28"/>
      <c r="F20" s="29"/>
      <c r="G20" s="20"/>
      <c r="H20" s="27"/>
      <c r="I20" s="28"/>
      <c r="J20" s="28"/>
      <c r="K20" s="28"/>
      <c r="L20" s="29"/>
      <c r="M20" s="20"/>
      <c r="N20" s="27"/>
      <c r="O20" s="28"/>
      <c r="P20" s="28"/>
      <c r="Q20" s="28"/>
      <c r="R20" s="29"/>
      <c r="S20" s="20"/>
      <c r="T20" s="27"/>
      <c r="U20" s="28"/>
      <c r="V20" s="28"/>
      <c r="W20" s="28"/>
      <c r="X20" s="29"/>
      <c r="Z20" s="37"/>
      <c r="AA20" s="37"/>
      <c r="AB20" s="20"/>
      <c r="AC20" s="37"/>
      <c r="AD20" s="37"/>
      <c r="AE20" s="20"/>
      <c r="AF20" s="37"/>
      <c r="AG20" s="37"/>
      <c r="AH20" s="20"/>
      <c r="AI20" s="37"/>
      <c r="AJ20" s="37"/>
    </row>
    <row r="21" spans="1:36" x14ac:dyDescent="0.25">
      <c r="A21" s="20"/>
      <c r="B21" s="18"/>
      <c r="C21" s="19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>
        <v>0</v>
      </c>
      <c r="O21" s="20">
        <v>1</v>
      </c>
      <c r="P21" s="20">
        <v>2</v>
      </c>
      <c r="Q21" s="20">
        <v>3</v>
      </c>
      <c r="R21" s="20"/>
      <c r="S21" s="20"/>
      <c r="T21" s="20"/>
      <c r="U21" s="20"/>
      <c r="V21" s="20"/>
      <c r="W21" s="20"/>
      <c r="X21" s="20"/>
    </row>
    <row r="22" spans="1:36" ht="13.5" customHeight="1" x14ac:dyDescent="0.25">
      <c r="A22" s="20"/>
      <c r="B22" s="21"/>
      <c r="C22" s="22"/>
      <c r="D22" s="22"/>
      <c r="E22" s="22"/>
      <c r="F22" s="23"/>
      <c r="G22" s="20"/>
      <c r="H22" s="21"/>
      <c r="I22" s="22"/>
      <c r="J22" s="22"/>
      <c r="K22" s="22"/>
      <c r="L22" s="23"/>
      <c r="M22" s="20">
        <v>0</v>
      </c>
      <c r="N22" s="21"/>
      <c r="O22" s="22"/>
      <c r="P22" s="22"/>
      <c r="Q22" s="22"/>
      <c r="R22" s="23"/>
      <c r="S22" s="20"/>
      <c r="T22" s="21"/>
      <c r="U22" s="22"/>
      <c r="V22" s="22"/>
      <c r="W22" s="22"/>
      <c r="X22" s="23"/>
      <c r="Z22" s="37">
        <v>2</v>
      </c>
      <c r="AA22" s="37">
        <v>1</v>
      </c>
      <c r="AB22" s="20"/>
      <c r="AC22" s="37">
        <v>2</v>
      </c>
      <c r="AD22" s="37">
        <v>1</v>
      </c>
      <c r="AE22" s="20"/>
      <c r="AF22" s="37">
        <v>3</v>
      </c>
      <c r="AG22" s="37">
        <v>2</v>
      </c>
      <c r="AH22" s="20"/>
      <c r="AI22" s="37">
        <v>1</v>
      </c>
      <c r="AJ22" s="37">
        <v>2</v>
      </c>
    </row>
    <row r="23" spans="1:36" ht="13.5" customHeight="1" x14ac:dyDescent="0.25">
      <c r="A23" s="20"/>
      <c r="B23" s="24"/>
      <c r="C23" s="25"/>
      <c r="D23" s="25">
        <v>1</v>
      </c>
      <c r="E23" s="25"/>
      <c r="F23" s="26"/>
      <c r="G23" s="20"/>
      <c r="H23" s="24"/>
      <c r="I23" s="25"/>
      <c r="J23" s="25">
        <v>1</v>
      </c>
      <c r="K23" s="25"/>
      <c r="L23" s="26"/>
      <c r="M23" s="20">
        <v>1</v>
      </c>
      <c r="N23" s="24"/>
      <c r="O23" s="25"/>
      <c r="P23" s="25"/>
      <c r="Q23" s="25"/>
      <c r="R23" s="26"/>
      <c r="S23" s="20"/>
      <c r="T23" s="24"/>
      <c r="U23" s="25"/>
      <c r="V23" s="25"/>
      <c r="W23" s="25"/>
      <c r="X23" s="26"/>
      <c r="Z23" s="37">
        <v>2</v>
      </c>
      <c r="AA23" s="37">
        <v>2</v>
      </c>
      <c r="AB23" s="20"/>
      <c r="AC23" s="37">
        <v>2</v>
      </c>
      <c r="AD23" s="37">
        <v>2</v>
      </c>
      <c r="AE23" s="20"/>
      <c r="AF23" s="37">
        <v>2</v>
      </c>
      <c r="AG23" s="37">
        <v>2</v>
      </c>
      <c r="AH23" s="20"/>
      <c r="AI23" s="37">
        <v>2</v>
      </c>
      <c r="AJ23" s="37">
        <v>2</v>
      </c>
    </row>
    <row r="24" spans="1:36" ht="13.5" customHeight="1" x14ac:dyDescent="0.25">
      <c r="A24" s="20"/>
      <c r="B24" s="24"/>
      <c r="C24" s="25">
        <v>1</v>
      </c>
      <c r="D24" s="25">
        <v>1</v>
      </c>
      <c r="E24" s="25"/>
      <c r="F24" s="26"/>
      <c r="G24" s="20"/>
      <c r="H24" s="24"/>
      <c r="I24" s="25"/>
      <c r="J24" s="25">
        <v>1</v>
      </c>
      <c r="K24" s="25">
        <v>1</v>
      </c>
      <c r="L24" s="26"/>
      <c r="M24" s="20">
        <v>2</v>
      </c>
      <c r="N24" s="24"/>
      <c r="O24" s="25"/>
      <c r="P24" s="25">
        <v>1</v>
      </c>
      <c r="Q24" s="25">
        <v>1</v>
      </c>
      <c r="R24" s="26"/>
      <c r="S24" s="20"/>
      <c r="T24" s="24"/>
      <c r="U24" s="25">
        <v>1</v>
      </c>
      <c r="V24" s="25">
        <v>1</v>
      </c>
      <c r="W24" s="25"/>
      <c r="X24" s="26"/>
      <c r="Z24" s="37">
        <v>1</v>
      </c>
      <c r="AA24" s="37">
        <v>2</v>
      </c>
      <c r="AB24" s="20"/>
      <c r="AC24" s="37">
        <v>3</v>
      </c>
      <c r="AD24" s="37">
        <v>2</v>
      </c>
      <c r="AE24" s="20"/>
      <c r="AF24" s="37">
        <v>2</v>
      </c>
      <c r="AG24" s="37">
        <v>3</v>
      </c>
      <c r="AH24" s="20"/>
      <c r="AI24" s="37">
        <v>2</v>
      </c>
      <c r="AJ24" s="37">
        <v>3</v>
      </c>
    </row>
    <row r="25" spans="1:36" ht="13.5" customHeight="1" x14ac:dyDescent="0.25">
      <c r="A25" s="20"/>
      <c r="B25" s="24"/>
      <c r="C25" s="25"/>
      <c r="D25" s="25"/>
      <c r="E25" s="25"/>
      <c r="F25" s="26"/>
      <c r="G25" s="20"/>
      <c r="H25" s="24"/>
      <c r="I25" s="25"/>
      <c r="J25" s="25"/>
      <c r="K25" s="25"/>
      <c r="L25" s="26"/>
      <c r="M25" s="20">
        <v>3</v>
      </c>
      <c r="N25" s="24"/>
      <c r="O25" s="25"/>
      <c r="P25" s="25">
        <v>1</v>
      </c>
      <c r="Q25" s="25"/>
      <c r="R25" s="26"/>
      <c r="S25" s="20"/>
      <c r="T25" s="24"/>
      <c r="U25" s="25"/>
      <c r="V25" s="25">
        <v>1</v>
      </c>
      <c r="W25" s="25"/>
      <c r="X25" s="26"/>
      <c r="Z25" s="37"/>
      <c r="AA25" s="37"/>
      <c r="AB25" s="20"/>
      <c r="AC25" s="37"/>
      <c r="AD25" s="37"/>
      <c r="AE25" s="20"/>
      <c r="AF25" s="37"/>
      <c r="AG25" s="37"/>
      <c r="AH25" s="20"/>
      <c r="AI25" s="37"/>
      <c r="AJ25" s="37"/>
    </row>
    <row r="26" spans="1:36" ht="13.5" customHeight="1" x14ac:dyDescent="0.25">
      <c r="A26" s="20"/>
      <c r="B26" s="27"/>
      <c r="C26" s="28"/>
      <c r="D26" s="28"/>
      <c r="E26" s="28"/>
      <c r="F26" s="29"/>
      <c r="G26" s="20"/>
      <c r="H26" s="27"/>
      <c r="I26" s="28"/>
      <c r="J26" s="28"/>
      <c r="K26" s="28"/>
      <c r="L26" s="29"/>
      <c r="M26" s="20"/>
      <c r="N26" s="27"/>
      <c r="O26" s="28"/>
      <c r="P26" s="28"/>
      <c r="Q26" s="28"/>
      <c r="R26" s="29"/>
      <c r="S26" s="20"/>
      <c r="T26" s="27"/>
      <c r="U26" s="28"/>
      <c r="V26" s="28"/>
      <c r="W26" s="28"/>
      <c r="X26" s="29"/>
      <c r="Z26" s="37"/>
      <c r="AA26" s="37"/>
      <c r="AC26" s="37"/>
      <c r="AD26" s="37"/>
      <c r="AE26" s="20"/>
      <c r="AF26" s="37"/>
      <c r="AG26" s="37"/>
      <c r="AH26" s="20"/>
      <c r="AI26" s="37"/>
      <c r="AJ26" s="37"/>
    </row>
    <row r="27" spans="1:36" x14ac:dyDescent="0.25">
      <c r="A27" s="20"/>
      <c r="B27" s="18"/>
      <c r="C27" s="19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>
        <v>0</v>
      </c>
      <c r="O27" s="20">
        <v>1</v>
      </c>
      <c r="P27" s="20">
        <v>2</v>
      </c>
      <c r="Q27" s="20">
        <v>3</v>
      </c>
      <c r="R27" s="20"/>
      <c r="S27" s="20"/>
      <c r="T27" s="20"/>
      <c r="U27" s="20"/>
      <c r="V27" s="20"/>
      <c r="W27" s="20"/>
      <c r="X27" s="20"/>
    </row>
    <row r="28" spans="1:36" ht="13.5" customHeight="1" x14ac:dyDescent="0.25">
      <c r="A28" s="20"/>
      <c r="B28" s="21"/>
      <c r="C28" s="22"/>
      <c r="D28" s="22"/>
      <c r="E28" s="22"/>
      <c r="F28" s="23"/>
      <c r="G28" s="20"/>
      <c r="H28" s="21"/>
      <c r="I28" s="22"/>
      <c r="J28" s="22"/>
      <c r="K28" s="22"/>
      <c r="L28" s="23"/>
      <c r="M28" s="20">
        <v>0</v>
      </c>
      <c r="N28" s="21"/>
      <c r="O28" s="22"/>
      <c r="P28" s="22"/>
      <c r="Q28" s="22"/>
      <c r="R28" s="23"/>
      <c r="S28" s="20"/>
      <c r="T28" s="21"/>
      <c r="U28" s="22"/>
      <c r="V28" s="22"/>
      <c r="W28" s="22"/>
      <c r="X28" s="23"/>
      <c r="Z28" s="37">
        <v>2</v>
      </c>
      <c r="AA28" s="37">
        <v>2</v>
      </c>
      <c r="AB28" s="20"/>
      <c r="AC28" s="37">
        <v>1</v>
      </c>
      <c r="AD28" s="37">
        <v>3</v>
      </c>
      <c r="AE28" s="20"/>
      <c r="AF28" s="37">
        <v>1</v>
      </c>
      <c r="AG28" s="37">
        <v>1</v>
      </c>
      <c r="AH28" s="20"/>
      <c r="AI28" s="37">
        <v>1</v>
      </c>
      <c r="AJ28" s="37">
        <v>1</v>
      </c>
    </row>
    <row r="29" spans="1:36" ht="13.5" customHeight="1" x14ac:dyDescent="0.25">
      <c r="A29" s="20"/>
      <c r="B29" s="24"/>
      <c r="C29" s="25"/>
      <c r="D29" s="25"/>
      <c r="E29" s="25">
        <v>1</v>
      </c>
      <c r="F29" s="26"/>
      <c r="G29" s="20"/>
      <c r="H29" s="24"/>
      <c r="I29" s="25"/>
      <c r="J29" s="25"/>
      <c r="K29" s="25"/>
      <c r="L29" s="26"/>
      <c r="M29" s="20">
        <v>1</v>
      </c>
      <c r="N29" s="24"/>
      <c r="O29" s="25">
        <v>1</v>
      </c>
      <c r="P29" s="25"/>
      <c r="Q29" s="25"/>
      <c r="R29" s="26"/>
      <c r="S29" s="20"/>
      <c r="T29" s="24"/>
      <c r="U29" s="25">
        <v>1</v>
      </c>
      <c r="V29" s="25"/>
      <c r="W29" s="25">
        <v>1</v>
      </c>
      <c r="X29" s="26"/>
      <c r="Z29" s="37">
        <v>3</v>
      </c>
      <c r="AA29" s="37">
        <v>1</v>
      </c>
      <c r="AB29" s="20"/>
      <c r="AC29" s="37">
        <v>2</v>
      </c>
      <c r="AD29" s="37">
        <v>2</v>
      </c>
      <c r="AE29" s="20"/>
      <c r="AF29" s="37">
        <v>2</v>
      </c>
      <c r="AG29" s="37">
        <v>2</v>
      </c>
      <c r="AH29" s="20"/>
      <c r="AI29" s="37">
        <v>2</v>
      </c>
      <c r="AJ29" s="37">
        <v>2</v>
      </c>
    </row>
    <row r="30" spans="1:36" ht="13.5" customHeight="1" x14ac:dyDescent="0.25">
      <c r="A30" s="20"/>
      <c r="B30" s="24"/>
      <c r="C30" s="25"/>
      <c r="D30" s="25">
        <v>1</v>
      </c>
      <c r="E30" s="25"/>
      <c r="F30" s="26"/>
      <c r="G30" s="20"/>
      <c r="H30" s="24"/>
      <c r="I30" s="25"/>
      <c r="J30" s="25">
        <v>1</v>
      </c>
      <c r="K30" s="25"/>
      <c r="L30" s="26"/>
      <c r="M30" s="20">
        <v>2</v>
      </c>
      <c r="N30" s="24"/>
      <c r="O30" s="25"/>
      <c r="P30" s="25">
        <v>1</v>
      </c>
      <c r="Q30" s="25"/>
      <c r="R30" s="26"/>
      <c r="S30" s="20"/>
      <c r="T30" s="24"/>
      <c r="U30" s="25"/>
      <c r="V30" s="25">
        <v>1</v>
      </c>
      <c r="W30" s="25"/>
      <c r="X30" s="26"/>
      <c r="Z30" s="37">
        <v>3</v>
      </c>
      <c r="AA30" s="37">
        <v>3</v>
      </c>
      <c r="AB30" s="20"/>
      <c r="AC30" s="37">
        <v>3</v>
      </c>
      <c r="AD30" s="37">
        <v>3</v>
      </c>
      <c r="AE30" s="20"/>
      <c r="AF30" s="37">
        <v>1</v>
      </c>
      <c r="AG30" s="37">
        <v>3</v>
      </c>
      <c r="AH30" s="20"/>
      <c r="AI30" s="37">
        <v>3</v>
      </c>
      <c r="AJ30" s="37">
        <v>1</v>
      </c>
    </row>
    <row r="31" spans="1:36" ht="13.5" customHeight="1" x14ac:dyDescent="0.25">
      <c r="A31" s="20"/>
      <c r="B31" s="24"/>
      <c r="C31" s="25"/>
      <c r="D31" s="25"/>
      <c r="E31" s="25">
        <v>1</v>
      </c>
      <c r="F31" s="26"/>
      <c r="G31" s="20"/>
      <c r="H31" s="24"/>
      <c r="I31" s="25">
        <v>1</v>
      </c>
      <c r="J31" s="25"/>
      <c r="K31" s="25">
        <v>1</v>
      </c>
      <c r="L31" s="26"/>
      <c r="M31" s="20">
        <v>3</v>
      </c>
      <c r="N31" s="24"/>
      <c r="O31" s="25">
        <v>1</v>
      </c>
      <c r="P31" s="25"/>
      <c r="Q31" s="25"/>
      <c r="R31" s="26"/>
      <c r="S31" s="20"/>
      <c r="T31" s="24"/>
      <c r="U31" s="25"/>
      <c r="V31" s="25"/>
      <c r="W31" s="25"/>
      <c r="X31" s="26"/>
      <c r="Z31" s="37"/>
      <c r="AA31" s="37"/>
      <c r="AC31" s="37"/>
      <c r="AD31" s="37"/>
      <c r="AE31" s="20"/>
      <c r="AF31" s="37"/>
      <c r="AG31" s="37"/>
      <c r="AH31" s="20"/>
      <c r="AI31" s="37"/>
      <c r="AJ31" s="37"/>
    </row>
    <row r="32" spans="1:36" ht="13.5" customHeight="1" x14ac:dyDescent="0.25">
      <c r="A32" s="20"/>
      <c r="B32" s="27"/>
      <c r="C32" s="28"/>
      <c r="D32" s="28"/>
      <c r="E32" s="28"/>
      <c r="F32" s="29"/>
      <c r="G32" s="20"/>
      <c r="H32" s="27"/>
      <c r="I32" s="28"/>
      <c r="J32" s="28"/>
      <c r="K32" s="28"/>
      <c r="L32" s="29"/>
      <c r="M32" s="20"/>
      <c r="N32" s="27"/>
      <c r="O32" s="28"/>
      <c r="P32" s="28"/>
      <c r="Q32" s="28"/>
      <c r="R32" s="29"/>
      <c r="S32" s="20"/>
      <c r="T32" s="27"/>
      <c r="U32" s="28"/>
      <c r="V32" s="28"/>
      <c r="W32" s="28"/>
      <c r="X32" s="29"/>
      <c r="Z32" s="37"/>
      <c r="AA32" s="37"/>
      <c r="AC32" s="37"/>
      <c r="AD32" s="37"/>
      <c r="AE32" s="20"/>
      <c r="AF32" s="37"/>
      <c r="AG32" s="37"/>
      <c r="AH32" s="20"/>
      <c r="AI32" s="37"/>
      <c r="AJ32" s="37"/>
    </row>
    <row r="33" spans="1:36" x14ac:dyDescent="0.25">
      <c r="A33" s="20"/>
      <c r="B33" s="18"/>
      <c r="C33" s="19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>
        <v>0</v>
      </c>
      <c r="O33" s="20">
        <v>1</v>
      </c>
      <c r="P33" s="20">
        <v>2</v>
      </c>
      <c r="Q33" s="20">
        <v>3</v>
      </c>
      <c r="R33" s="20"/>
      <c r="S33" s="20"/>
      <c r="T33" s="20"/>
      <c r="U33" s="20"/>
      <c r="V33" s="20"/>
      <c r="W33" s="20"/>
      <c r="X33" s="20"/>
    </row>
    <row r="34" spans="1:36" ht="13.5" customHeight="1" x14ac:dyDescent="0.25">
      <c r="A34" s="20"/>
      <c r="B34" s="21"/>
      <c r="C34" s="22"/>
      <c r="D34" s="22"/>
      <c r="E34" s="22"/>
      <c r="F34" s="23"/>
      <c r="G34" s="20"/>
      <c r="H34" s="21"/>
      <c r="I34" s="22"/>
      <c r="J34" s="22"/>
      <c r="K34" s="22"/>
      <c r="L34" s="23"/>
      <c r="M34" s="20">
        <v>0</v>
      </c>
      <c r="N34" s="21"/>
      <c r="O34" s="22"/>
      <c r="P34" s="22"/>
      <c r="Q34" s="22"/>
      <c r="R34" s="23"/>
      <c r="S34" s="20"/>
      <c r="T34" s="21"/>
      <c r="U34" s="22"/>
      <c r="V34" s="22"/>
      <c r="W34" s="22"/>
      <c r="X34" s="23"/>
      <c r="Z34" s="37">
        <v>1</v>
      </c>
      <c r="AA34" s="37">
        <v>3</v>
      </c>
      <c r="AB34" s="20"/>
      <c r="AC34" s="37">
        <v>1</v>
      </c>
      <c r="AD34" s="37">
        <v>1</v>
      </c>
      <c r="AE34" s="20"/>
      <c r="AF34" s="37">
        <v>1</v>
      </c>
      <c r="AG34" s="37">
        <v>3</v>
      </c>
      <c r="AH34" s="20"/>
      <c r="AI34" s="37">
        <v>1</v>
      </c>
      <c r="AJ34" s="37">
        <v>1</v>
      </c>
    </row>
    <row r="35" spans="1:36" ht="13.5" customHeight="1" x14ac:dyDescent="0.25">
      <c r="A35" s="20"/>
      <c r="B35" s="24"/>
      <c r="C35" s="25"/>
      <c r="D35" s="25"/>
      <c r="E35" s="25">
        <v>1</v>
      </c>
      <c r="F35" s="26"/>
      <c r="G35" s="20"/>
      <c r="H35" s="24"/>
      <c r="I35" s="25">
        <v>1</v>
      </c>
      <c r="J35" s="25"/>
      <c r="K35" s="25"/>
      <c r="L35" s="26"/>
      <c r="M35" s="20">
        <v>1</v>
      </c>
      <c r="N35" s="24"/>
      <c r="O35" s="25"/>
      <c r="P35" s="25"/>
      <c r="Q35" s="25">
        <v>1</v>
      </c>
      <c r="R35" s="26"/>
      <c r="S35" s="20"/>
      <c r="T35" s="24"/>
      <c r="U35" s="25">
        <v>1</v>
      </c>
      <c r="V35" s="25"/>
      <c r="W35" s="25"/>
      <c r="X35" s="26"/>
      <c r="Z35" s="37">
        <v>2</v>
      </c>
      <c r="AA35" s="37">
        <v>2</v>
      </c>
      <c r="AB35" s="20"/>
      <c r="AC35" s="37">
        <v>2</v>
      </c>
      <c r="AD35" s="37">
        <v>2</v>
      </c>
      <c r="AE35" s="20"/>
      <c r="AF35" s="37">
        <v>2</v>
      </c>
      <c r="AG35" s="37">
        <v>2</v>
      </c>
      <c r="AH35" s="20"/>
      <c r="AI35" s="37">
        <v>2</v>
      </c>
      <c r="AJ35" s="37">
        <v>2</v>
      </c>
    </row>
    <row r="36" spans="1:36" ht="13.5" customHeight="1" x14ac:dyDescent="0.25">
      <c r="A36" s="20"/>
      <c r="B36" s="24"/>
      <c r="C36" s="25"/>
      <c r="D36" s="25">
        <v>1</v>
      </c>
      <c r="E36" s="25"/>
      <c r="F36" s="26"/>
      <c r="G36" s="20"/>
      <c r="H36" s="24"/>
      <c r="I36" s="25"/>
      <c r="J36" s="25">
        <v>1</v>
      </c>
      <c r="K36" s="25"/>
      <c r="L36" s="26"/>
      <c r="M36" s="20">
        <v>2</v>
      </c>
      <c r="N36" s="24"/>
      <c r="O36" s="25"/>
      <c r="P36" s="25">
        <v>1</v>
      </c>
      <c r="Q36" s="25"/>
      <c r="R36" s="26"/>
      <c r="S36" s="20"/>
      <c r="T36" s="24"/>
      <c r="U36" s="25"/>
      <c r="V36" s="25">
        <v>1</v>
      </c>
      <c r="W36" s="25"/>
      <c r="X36" s="26"/>
      <c r="Z36" s="37">
        <v>3</v>
      </c>
      <c r="AA36" s="37">
        <v>1</v>
      </c>
      <c r="AB36" s="20"/>
      <c r="AC36" s="37">
        <v>3</v>
      </c>
      <c r="AD36" s="37">
        <v>3</v>
      </c>
      <c r="AE36" s="20"/>
      <c r="AF36" s="37">
        <v>3</v>
      </c>
      <c r="AG36" s="37">
        <v>1</v>
      </c>
      <c r="AH36" s="20"/>
      <c r="AI36" s="37">
        <v>3</v>
      </c>
      <c r="AJ36" s="37">
        <v>3</v>
      </c>
    </row>
    <row r="37" spans="1:36" ht="13.5" customHeight="1" x14ac:dyDescent="0.25">
      <c r="A37" s="20"/>
      <c r="B37" s="24"/>
      <c r="C37" s="25">
        <v>1</v>
      </c>
      <c r="D37" s="25"/>
      <c r="E37" s="25"/>
      <c r="F37" s="26"/>
      <c r="G37" s="20"/>
      <c r="H37" s="24"/>
      <c r="I37" s="25"/>
      <c r="J37" s="25"/>
      <c r="K37" s="25">
        <v>1</v>
      </c>
      <c r="L37" s="26"/>
      <c r="M37" s="20">
        <v>3</v>
      </c>
      <c r="N37" s="24"/>
      <c r="O37" s="25">
        <v>1</v>
      </c>
      <c r="P37" s="25"/>
      <c r="Q37" s="25"/>
      <c r="R37" s="26"/>
      <c r="S37" s="20"/>
      <c r="T37" s="24"/>
      <c r="U37" s="25"/>
      <c r="V37" s="25"/>
      <c r="W37" s="25">
        <v>1</v>
      </c>
      <c r="X37" s="26"/>
      <c r="Z37" s="37"/>
      <c r="AA37" s="37"/>
      <c r="AC37" s="37"/>
      <c r="AD37" s="37"/>
      <c r="AE37" s="20"/>
      <c r="AF37" s="37"/>
      <c r="AG37" s="37"/>
      <c r="AI37" s="37"/>
      <c r="AJ37" s="37"/>
    </row>
    <row r="38" spans="1:36" ht="13.5" customHeight="1" x14ac:dyDescent="0.25">
      <c r="A38" s="20"/>
      <c r="B38" s="27"/>
      <c r="C38" s="28"/>
      <c r="D38" s="28"/>
      <c r="E38" s="28"/>
      <c r="F38" s="29"/>
      <c r="G38" s="20"/>
      <c r="H38" s="27"/>
      <c r="I38" s="28"/>
      <c r="J38" s="28"/>
      <c r="K38" s="28"/>
      <c r="L38" s="29"/>
      <c r="M38" s="20"/>
      <c r="N38" s="27"/>
      <c r="O38" s="28"/>
      <c r="P38" s="28"/>
      <c r="Q38" s="28"/>
      <c r="R38" s="29"/>
      <c r="S38" s="20"/>
      <c r="T38" s="27"/>
      <c r="U38" s="28"/>
      <c r="V38" s="28"/>
      <c r="W38" s="28"/>
      <c r="X38" s="29"/>
      <c r="Z38" s="37"/>
      <c r="AA38" s="37"/>
      <c r="AC38" s="37"/>
      <c r="AD38" s="37"/>
      <c r="AE38" s="20"/>
      <c r="AF38" s="37"/>
      <c r="AG38" s="37"/>
      <c r="AH38" s="20"/>
      <c r="AI38" s="37"/>
      <c r="AJ38" s="37"/>
    </row>
  </sheetData>
  <conditionalFormatting sqref="B4:F8 H4:L8 N4:R8 T4:X8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0:F14 H10:L14 N10:R14 T10:X14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16:F20 H16:L20 N16:R20 T16:X20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2:F26 H22:L26 N22:R26 T22:X2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28:F32 H28:L32 N28:R32 T28:X3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34:F38 H34:L3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34:R38 T34:X38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Screen</vt:lpstr>
      <vt:lpstr>KeyboardInputs</vt:lpstr>
      <vt:lpstr>Entities</vt:lpstr>
      <vt:lpstr>Board</vt:lpstr>
      <vt:lpstr>TileTypes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Jonny Solomon</dc:creator>
  <cp:lastModifiedBy>s0lly</cp:lastModifiedBy>
  <dcterms:created xsi:type="dcterms:W3CDTF">2020-03-31T21:01:49Z</dcterms:created>
  <dcterms:modified xsi:type="dcterms:W3CDTF">2020-06-30T11:11:42Z</dcterms:modified>
</cp:coreProperties>
</file>